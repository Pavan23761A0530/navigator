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72B2E72-82FD-40D2-8205-4BF8D0392A9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Original " sheetId="10" r:id="rId1"/>
    <sheet name="1446" sheetId="7" r:id="rId2"/>
    <sheet name="1447" sheetId="9" r:id="rId3"/>
    <sheet name="1448" sheetId="1" r:id="rId4"/>
    <sheet name="1449" sheetId="2" r:id="rId5"/>
    <sheet name="1450" sheetId="8" r:id="rId6"/>
    <sheet name="1451" sheetId="3" r:id="rId7"/>
    <sheet name="1452" sheetId="4" r:id="rId8"/>
    <sheet name="1453" sheetId="5" r:id="rId9"/>
    <sheet name="1454" sheetId="6" r:id="rId10"/>
    <sheet name="1455" sheetId="11" r:id="rId11"/>
    <sheet name="1456" sheetId="12" r:id="rId12"/>
    <sheet name="1457" sheetId="13" r:id="rId13"/>
    <sheet name="1458" sheetId="14" r:id="rId14"/>
    <sheet name="1459" sheetId="17" r:id="rId15"/>
    <sheet name="1460" sheetId="18" r:id="rId16"/>
    <sheet name="1461" sheetId="19" r:id="rId17"/>
    <sheet name="1462" sheetId="20" r:id="rId18"/>
    <sheet name="1463" sheetId="21" r:id="rId19"/>
    <sheet name="1464" sheetId="22" r:id="rId20"/>
    <sheet name="1465" sheetId="24" r:id="rId21"/>
    <sheet name="1466" sheetId="23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7" l="1"/>
  <c r="B24" i="7" s="1"/>
  <c r="B19" i="7"/>
  <c r="B22" i="7"/>
  <c r="Y40" i="23"/>
  <c r="X40" i="23"/>
  <c r="W40" i="23"/>
  <c r="V40" i="23"/>
  <c r="T40" i="23"/>
  <c r="S40" i="23"/>
  <c r="R40" i="23"/>
  <c r="Q40" i="23"/>
  <c r="Y39" i="23"/>
  <c r="X39" i="23"/>
  <c r="W39" i="23"/>
  <c r="V39" i="23"/>
  <c r="T39" i="23"/>
  <c r="S39" i="23"/>
  <c r="R39" i="23"/>
  <c r="Q39" i="23"/>
  <c r="Y38" i="23"/>
  <c r="X38" i="23"/>
  <c r="W38" i="23"/>
  <c r="V38" i="23"/>
  <c r="T38" i="23"/>
  <c r="S38" i="23"/>
  <c r="R38" i="23"/>
  <c r="Q38" i="23"/>
  <c r="Y37" i="23"/>
  <c r="X37" i="23"/>
  <c r="W37" i="23"/>
  <c r="V37" i="23"/>
  <c r="T37" i="23"/>
  <c r="S37" i="23"/>
  <c r="R37" i="23"/>
  <c r="Q37" i="23"/>
  <c r="Y36" i="23"/>
  <c r="X36" i="23"/>
  <c r="W36" i="23"/>
  <c r="V36" i="23"/>
  <c r="T36" i="23"/>
  <c r="S36" i="23"/>
  <c r="R36" i="23"/>
  <c r="Q36" i="23"/>
  <c r="Y35" i="23"/>
  <c r="X35" i="23"/>
  <c r="W35" i="23"/>
  <c r="V35" i="23"/>
  <c r="T35" i="23"/>
  <c r="S35" i="23"/>
  <c r="R35" i="23"/>
  <c r="Q35" i="23"/>
  <c r="Y34" i="23"/>
  <c r="X34" i="23"/>
  <c r="W34" i="23"/>
  <c r="V34" i="23"/>
  <c r="T34" i="23"/>
  <c r="S34" i="23"/>
  <c r="R34" i="23"/>
  <c r="Q34" i="23"/>
  <c r="Y33" i="23"/>
  <c r="X33" i="23"/>
  <c r="W33" i="23"/>
  <c r="V33" i="23"/>
  <c r="T33" i="23"/>
  <c r="S33" i="23"/>
  <c r="R33" i="23"/>
  <c r="Q33" i="23"/>
  <c r="Y32" i="23"/>
  <c r="X32" i="23"/>
  <c r="W32" i="23"/>
  <c r="V32" i="23"/>
  <c r="T32" i="23"/>
  <c r="S32" i="23"/>
  <c r="R32" i="23"/>
  <c r="Q32" i="23"/>
  <c r="Y31" i="23"/>
  <c r="X31" i="23"/>
  <c r="W31" i="23"/>
  <c r="V31" i="23"/>
  <c r="T31" i="23"/>
  <c r="S31" i="23"/>
  <c r="R31" i="23"/>
  <c r="Q31" i="23"/>
  <c r="Y30" i="23"/>
  <c r="X30" i="23"/>
  <c r="W30" i="23"/>
  <c r="V30" i="23"/>
  <c r="T30" i="23"/>
  <c r="S30" i="23"/>
  <c r="R30" i="23"/>
  <c r="Q30" i="23"/>
  <c r="Y29" i="23"/>
  <c r="X29" i="23"/>
  <c r="W29" i="23"/>
  <c r="V29" i="23"/>
  <c r="T29" i="23"/>
  <c r="S29" i="23"/>
  <c r="R29" i="23"/>
  <c r="Q29" i="23"/>
  <c r="Y28" i="23"/>
  <c r="X28" i="23"/>
  <c r="W28" i="23"/>
  <c r="V28" i="23"/>
  <c r="T28" i="23"/>
  <c r="S28" i="23"/>
  <c r="R28" i="23"/>
  <c r="Q28" i="23"/>
  <c r="O28" i="23"/>
  <c r="N28" i="23"/>
  <c r="M28" i="23"/>
  <c r="L28" i="23"/>
  <c r="K28" i="23"/>
  <c r="J28" i="23"/>
  <c r="I28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7" i="23"/>
  <c r="H4" i="23"/>
  <c r="F4" i="23"/>
  <c r="E4" i="23"/>
  <c r="H3" i="23"/>
  <c r="F3" i="23"/>
  <c r="E3" i="23"/>
  <c r="Y40" i="24"/>
  <c r="X40" i="24"/>
  <c r="W40" i="24"/>
  <c r="V40" i="24"/>
  <c r="T40" i="24"/>
  <c r="S40" i="24"/>
  <c r="R40" i="24"/>
  <c r="Q40" i="24"/>
  <c r="Y39" i="24"/>
  <c r="X39" i="24"/>
  <c r="W39" i="24"/>
  <c r="V39" i="24"/>
  <c r="T39" i="24"/>
  <c r="S39" i="24"/>
  <c r="R39" i="24"/>
  <c r="Q39" i="24"/>
  <c r="Y38" i="24"/>
  <c r="X38" i="24"/>
  <c r="W38" i="24"/>
  <c r="V38" i="24"/>
  <c r="T38" i="24"/>
  <c r="S38" i="24"/>
  <c r="R38" i="24"/>
  <c r="Q38" i="24"/>
  <c r="Y37" i="24"/>
  <c r="X37" i="24"/>
  <c r="W37" i="24"/>
  <c r="V37" i="24"/>
  <c r="T37" i="24"/>
  <c r="S37" i="24"/>
  <c r="R37" i="24"/>
  <c r="Q37" i="24"/>
  <c r="Y36" i="24"/>
  <c r="X36" i="24"/>
  <c r="W36" i="24"/>
  <c r="V36" i="24"/>
  <c r="T36" i="24"/>
  <c r="S36" i="24"/>
  <c r="R36" i="24"/>
  <c r="Q36" i="24"/>
  <c r="Y35" i="24"/>
  <c r="X35" i="24"/>
  <c r="W35" i="24"/>
  <c r="V35" i="24"/>
  <c r="T35" i="24"/>
  <c r="S35" i="24"/>
  <c r="R35" i="24"/>
  <c r="Q35" i="24"/>
  <c r="Y34" i="24"/>
  <c r="X34" i="24"/>
  <c r="W34" i="24"/>
  <c r="V34" i="24"/>
  <c r="T34" i="24"/>
  <c r="S34" i="24"/>
  <c r="R34" i="24"/>
  <c r="Q34" i="24"/>
  <c r="Y33" i="24"/>
  <c r="X33" i="24"/>
  <c r="W33" i="24"/>
  <c r="V33" i="24"/>
  <c r="T33" i="24"/>
  <c r="S33" i="24"/>
  <c r="R33" i="24"/>
  <c r="Q33" i="24"/>
  <c r="Y32" i="24"/>
  <c r="X32" i="24"/>
  <c r="W32" i="24"/>
  <c r="V32" i="24"/>
  <c r="T32" i="24"/>
  <c r="S32" i="24"/>
  <c r="R32" i="24"/>
  <c r="Q32" i="24"/>
  <c r="Y31" i="24"/>
  <c r="X31" i="24"/>
  <c r="W31" i="24"/>
  <c r="V31" i="24"/>
  <c r="T31" i="24"/>
  <c r="S31" i="24"/>
  <c r="R31" i="24"/>
  <c r="Q31" i="24"/>
  <c r="Y30" i="24"/>
  <c r="X30" i="24"/>
  <c r="W30" i="24"/>
  <c r="V30" i="24"/>
  <c r="T30" i="24"/>
  <c r="S30" i="24"/>
  <c r="R30" i="24"/>
  <c r="Q30" i="24"/>
  <c r="Y29" i="24"/>
  <c r="X29" i="24"/>
  <c r="W29" i="24"/>
  <c r="V29" i="24"/>
  <c r="T29" i="24"/>
  <c r="S29" i="24"/>
  <c r="R29" i="24"/>
  <c r="Q29" i="24"/>
  <c r="Y28" i="24"/>
  <c r="X28" i="24"/>
  <c r="W28" i="24"/>
  <c r="V28" i="24"/>
  <c r="T28" i="24"/>
  <c r="S28" i="24"/>
  <c r="R28" i="24"/>
  <c r="Q28" i="24"/>
  <c r="O28" i="24"/>
  <c r="N28" i="24"/>
  <c r="M28" i="24"/>
  <c r="L28" i="24"/>
  <c r="K28" i="24"/>
  <c r="J28" i="24"/>
  <c r="I28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7" i="24"/>
  <c r="H4" i="24"/>
  <c r="F4" i="24"/>
  <c r="E4" i="24"/>
  <c r="H3" i="24"/>
  <c r="F3" i="24"/>
  <c r="E3" i="24"/>
  <c r="Y40" i="22"/>
  <c r="X40" i="22"/>
  <c r="W40" i="22"/>
  <c r="V40" i="22"/>
  <c r="T40" i="22"/>
  <c r="S40" i="22"/>
  <c r="R40" i="22"/>
  <c r="Q40" i="22"/>
  <c r="Y39" i="22"/>
  <c r="X39" i="22"/>
  <c r="W39" i="22"/>
  <c r="V39" i="22"/>
  <c r="T39" i="22"/>
  <c r="S39" i="22"/>
  <c r="R39" i="22"/>
  <c r="Q39" i="22"/>
  <c r="Y38" i="22"/>
  <c r="X38" i="22"/>
  <c r="W38" i="22"/>
  <c r="V38" i="22"/>
  <c r="T38" i="22"/>
  <c r="S38" i="22"/>
  <c r="R38" i="22"/>
  <c r="Q38" i="22"/>
  <c r="Y37" i="22"/>
  <c r="X37" i="22"/>
  <c r="W37" i="22"/>
  <c r="V37" i="22"/>
  <c r="T37" i="22"/>
  <c r="S37" i="22"/>
  <c r="R37" i="22"/>
  <c r="Q37" i="22"/>
  <c r="Y36" i="22"/>
  <c r="X36" i="22"/>
  <c r="W36" i="22"/>
  <c r="V36" i="22"/>
  <c r="T36" i="22"/>
  <c r="S36" i="22"/>
  <c r="R36" i="22"/>
  <c r="Q36" i="22"/>
  <c r="Y35" i="22"/>
  <c r="X35" i="22"/>
  <c r="W35" i="22"/>
  <c r="V35" i="22"/>
  <c r="T35" i="22"/>
  <c r="S35" i="22"/>
  <c r="R35" i="22"/>
  <c r="Q35" i="22"/>
  <c r="Y34" i="22"/>
  <c r="X34" i="22"/>
  <c r="W34" i="22"/>
  <c r="V34" i="22"/>
  <c r="T34" i="22"/>
  <c r="S34" i="22"/>
  <c r="R34" i="22"/>
  <c r="Q34" i="22"/>
  <c r="Y33" i="22"/>
  <c r="X33" i="22"/>
  <c r="W33" i="22"/>
  <c r="V33" i="22"/>
  <c r="T33" i="22"/>
  <c r="S33" i="22"/>
  <c r="R33" i="22"/>
  <c r="Q33" i="22"/>
  <c r="Y32" i="22"/>
  <c r="X32" i="22"/>
  <c r="W32" i="22"/>
  <c r="V32" i="22"/>
  <c r="T32" i="22"/>
  <c r="S32" i="22"/>
  <c r="R32" i="22"/>
  <c r="Q32" i="22"/>
  <c r="Y31" i="22"/>
  <c r="X31" i="22"/>
  <c r="W31" i="22"/>
  <c r="V31" i="22"/>
  <c r="T31" i="22"/>
  <c r="S31" i="22"/>
  <c r="R31" i="22"/>
  <c r="Q31" i="22"/>
  <c r="Y30" i="22"/>
  <c r="X30" i="22"/>
  <c r="W30" i="22"/>
  <c r="V30" i="22"/>
  <c r="T30" i="22"/>
  <c r="S30" i="22"/>
  <c r="R30" i="22"/>
  <c r="Q30" i="22"/>
  <c r="Y29" i="22"/>
  <c r="X29" i="22"/>
  <c r="W29" i="22"/>
  <c r="V29" i="22"/>
  <c r="T29" i="22"/>
  <c r="S29" i="22"/>
  <c r="R29" i="22"/>
  <c r="Q29" i="22"/>
  <c r="Y28" i="22"/>
  <c r="X28" i="22"/>
  <c r="W28" i="22"/>
  <c r="V28" i="22"/>
  <c r="T28" i="22"/>
  <c r="S28" i="22"/>
  <c r="R28" i="22"/>
  <c r="Q28" i="22"/>
  <c r="O28" i="22"/>
  <c r="N28" i="22"/>
  <c r="M28" i="22"/>
  <c r="L28" i="22"/>
  <c r="K28" i="22"/>
  <c r="J28" i="22"/>
  <c r="I28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7" i="22"/>
  <c r="H4" i="22"/>
  <c r="F4" i="22"/>
  <c r="E4" i="22"/>
  <c r="H3" i="22"/>
  <c r="F3" i="22"/>
  <c r="E3" i="22"/>
  <c r="Y40" i="21"/>
  <c r="X40" i="21"/>
  <c r="W40" i="21"/>
  <c r="V40" i="21"/>
  <c r="T40" i="21"/>
  <c r="S40" i="21"/>
  <c r="R40" i="21"/>
  <c r="Q40" i="21"/>
  <c r="Y39" i="21"/>
  <c r="X39" i="21"/>
  <c r="W39" i="21"/>
  <c r="V39" i="21"/>
  <c r="T39" i="21"/>
  <c r="S39" i="21"/>
  <c r="R39" i="21"/>
  <c r="Q39" i="21"/>
  <c r="Y38" i="21"/>
  <c r="X38" i="21"/>
  <c r="W38" i="21"/>
  <c r="V38" i="21"/>
  <c r="T38" i="21"/>
  <c r="S38" i="21"/>
  <c r="R38" i="21"/>
  <c r="Q38" i="21"/>
  <c r="Y37" i="21"/>
  <c r="X37" i="21"/>
  <c r="W37" i="21"/>
  <c r="V37" i="21"/>
  <c r="T37" i="21"/>
  <c r="S37" i="21"/>
  <c r="R37" i="21"/>
  <c r="Q37" i="21"/>
  <c r="Y36" i="21"/>
  <c r="X36" i="21"/>
  <c r="W36" i="21"/>
  <c r="V36" i="21"/>
  <c r="T36" i="21"/>
  <c r="S36" i="21"/>
  <c r="R36" i="21"/>
  <c r="Q36" i="21"/>
  <c r="Y35" i="21"/>
  <c r="X35" i="21"/>
  <c r="W35" i="21"/>
  <c r="V35" i="21"/>
  <c r="T35" i="21"/>
  <c r="S35" i="21"/>
  <c r="R35" i="21"/>
  <c r="Q35" i="21"/>
  <c r="Y34" i="21"/>
  <c r="X34" i="21"/>
  <c r="W34" i="21"/>
  <c r="V34" i="21"/>
  <c r="T34" i="21"/>
  <c r="S34" i="21"/>
  <c r="R34" i="21"/>
  <c r="Q34" i="21"/>
  <c r="Y33" i="21"/>
  <c r="X33" i="21"/>
  <c r="W33" i="21"/>
  <c r="V33" i="21"/>
  <c r="T33" i="21"/>
  <c r="S33" i="21"/>
  <c r="R33" i="21"/>
  <c r="Q33" i="21"/>
  <c r="Y32" i="21"/>
  <c r="X32" i="21"/>
  <c r="W32" i="21"/>
  <c r="V32" i="21"/>
  <c r="T32" i="21"/>
  <c r="S32" i="21"/>
  <c r="R32" i="21"/>
  <c r="Q32" i="21"/>
  <c r="Y31" i="21"/>
  <c r="X31" i="21"/>
  <c r="W31" i="21"/>
  <c r="V31" i="21"/>
  <c r="T31" i="21"/>
  <c r="S31" i="21"/>
  <c r="R31" i="21"/>
  <c r="Q31" i="21"/>
  <c r="Y30" i="21"/>
  <c r="X30" i="21"/>
  <c r="W30" i="21"/>
  <c r="V30" i="21"/>
  <c r="T30" i="21"/>
  <c r="S30" i="21"/>
  <c r="R30" i="21"/>
  <c r="Q30" i="21"/>
  <c r="Y29" i="21"/>
  <c r="X29" i="21"/>
  <c r="W29" i="21"/>
  <c r="V29" i="21"/>
  <c r="T29" i="21"/>
  <c r="S29" i="21"/>
  <c r="R29" i="21"/>
  <c r="Q29" i="21"/>
  <c r="Y28" i="21"/>
  <c r="X28" i="21"/>
  <c r="W28" i="21"/>
  <c r="V28" i="21"/>
  <c r="T28" i="21"/>
  <c r="S28" i="21"/>
  <c r="R28" i="21"/>
  <c r="Q28" i="21"/>
  <c r="O28" i="21"/>
  <c r="N28" i="21"/>
  <c r="M28" i="21"/>
  <c r="L28" i="21"/>
  <c r="K28" i="21"/>
  <c r="J28" i="21"/>
  <c r="I28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7" i="21"/>
  <c r="H4" i="21"/>
  <c r="F4" i="21"/>
  <c r="E4" i="21"/>
  <c r="H3" i="21"/>
  <c r="F3" i="21"/>
  <c r="E3" i="21"/>
  <c r="Y40" i="20"/>
  <c r="X40" i="20"/>
  <c r="W40" i="20"/>
  <c r="V40" i="20"/>
  <c r="T40" i="20"/>
  <c r="S40" i="20"/>
  <c r="R40" i="20"/>
  <c r="Q40" i="20"/>
  <c r="Y39" i="20"/>
  <c r="X39" i="20"/>
  <c r="W39" i="20"/>
  <c r="V39" i="20"/>
  <c r="T39" i="20"/>
  <c r="S39" i="20"/>
  <c r="R39" i="20"/>
  <c r="Q39" i="20"/>
  <c r="Y38" i="20"/>
  <c r="X38" i="20"/>
  <c r="W38" i="20"/>
  <c r="V38" i="20"/>
  <c r="T38" i="20"/>
  <c r="S38" i="20"/>
  <c r="R38" i="20"/>
  <c r="Q38" i="20"/>
  <c r="Y37" i="20"/>
  <c r="X37" i="20"/>
  <c r="W37" i="20"/>
  <c r="V37" i="20"/>
  <c r="T37" i="20"/>
  <c r="S37" i="20"/>
  <c r="R37" i="20"/>
  <c r="Q37" i="20"/>
  <c r="Y36" i="20"/>
  <c r="X36" i="20"/>
  <c r="W36" i="20"/>
  <c r="V36" i="20"/>
  <c r="T36" i="20"/>
  <c r="S36" i="20"/>
  <c r="R36" i="20"/>
  <c r="Q36" i="20"/>
  <c r="Y35" i="20"/>
  <c r="X35" i="20"/>
  <c r="W35" i="20"/>
  <c r="V35" i="20"/>
  <c r="T35" i="20"/>
  <c r="S35" i="20"/>
  <c r="R35" i="20"/>
  <c r="Q35" i="20"/>
  <c r="Y34" i="20"/>
  <c r="X34" i="20"/>
  <c r="W34" i="20"/>
  <c r="V34" i="20"/>
  <c r="T34" i="20"/>
  <c r="S34" i="20"/>
  <c r="R34" i="20"/>
  <c r="Q34" i="20"/>
  <c r="Y33" i="20"/>
  <c r="X33" i="20"/>
  <c r="W33" i="20"/>
  <c r="V33" i="20"/>
  <c r="T33" i="20"/>
  <c r="S33" i="20"/>
  <c r="R33" i="20"/>
  <c r="Q33" i="20"/>
  <c r="Y32" i="20"/>
  <c r="X32" i="20"/>
  <c r="W32" i="20"/>
  <c r="V32" i="20"/>
  <c r="T32" i="20"/>
  <c r="S32" i="20"/>
  <c r="R32" i="20"/>
  <c r="Q32" i="20"/>
  <c r="Y31" i="20"/>
  <c r="X31" i="20"/>
  <c r="W31" i="20"/>
  <c r="V31" i="20"/>
  <c r="T31" i="20"/>
  <c r="S31" i="20"/>
  <c r="R31" i="20"/>
  <c r="Q31" i="20"/>
  <c r="Y30" i="20"/>
  <c r="X30" i="20"/>
  <c r="W30" i="20"/>
  <c r="V30" i="20"/>
  <c r="T30" i="20"/>
  <c r="S30" i="20"/>
  <c r="R30" i="20"/>
  <c r="Q30" i="20"/>
  <c r="Y29" i="20"/>
  <c r="X29" i="20"/>
  <c r="W29" i="20"/>
  <c r="V29" i="20"/>
  <c r="T29" i="20"/>
  <c r="S29" i="20"/>
  <c r="R29" i="20"/>
  <c r="Q29" i="20"/>
  <c r="Y28" i="20"/>
  <c r="X28" i="20"/>
  <c r="W28" i="20"/>
  <c r="V28" i="20"/>
  <c r="T28" i="20"/>
  <c r="S28" i="20"/>
  <c r="R28" i="20"/>
  <c r="Q28" i="20"/>
  <c r="O28" i="20"/>
  <c r="N28" i="20"/>
  <c r="M28" i="20"/>
  <c r="L28" i="20"/>
  <c r="K28" i="20"/>
  <c r="J28" i="20"/>
  <c r="I28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7" i="20"/>
  <c r="H4" i="20"/>
  <c r="F4" i="20"/>
  <c r="E4" i="20"/>
  <c r="H3" i="20"/>
  <c r="F3" i="20"/>
  <c r="E3" i="20"/>
  <c r="Y40" i="19"/>
  <c r="X40" i="19"/>
  <c r="W40" i="19"/>
  <c r="V40" i="19"/>
  <c r="T40" i="19"/>
  <c r="S40" i="19"/>
  <c r="R40" i="19"/>
  <c r="Q40" i="19"/>
  <c r="Y39" i="19"/>
  <c r="X39" i="19"/>
  <c r="W39" i="19"/>
  <c r="V39" i="19"/>
  <c r="T39" i="19"/>
  <c r="S39" i="19"/>
  <c r="R39" i="19"/>
  <c r="Q39" i="19"/>
  <c r="Y38" i="19"/>
  <c r="X38" i="19"/>
  <c r="W38" i="19"/>
  <c r="V38" i="19"/>
  <c r="T38" i="19"/>
  <c r="S38" i="19"/>
  <c r="R38" i="19"/>
  <c r="Q38" i="19"/>
  <c r="Y37" i="19"/>
  <c r="X37" i="19"/>
  <c r="W37" i="19"/>
  <c r="V37" i="19"/>
  <c r="T37" i="19"/>
  <c r="S37" i="19"/>
  <c r="R37" i="19"/>
  <c r="Q37" i="19"/>
  <c r="Y36" i="19"/>
  <c r="X36" i="19"/>
  <c r="W36" i="19"/>
  <c r="V36" i="19"/>
  <c r="T36" i="19"/>
  <c r="S36" i="19"/>
  <c r="R36" i="19"/>
  <c r="Q36" i="19"/>
  <c r="Y35" i="19"/>
  <c r="X35" i="19"/>
  <c r="W35" i="19"/>
  <c r="V35" i="19"/>
  <c r="T35" i="19"/>
  <c r="S35" i="19"/>
  <c r="R35" i="19"/>
  <c r="Q35" i="19"/>
  <c r="Y34" i="19"/>
  <c r="X34" i="19"/>
  <c r="W34" i="19"/>
  <c r="V34" i="19"/>
  <c r="T34" i="19"/>
  <c r="S34" i="19"/>
  <c r="R34" i="19"/>
  <c r="Q34" i="19"/>
  <c r="Y33" i="19"/>
  <c r="X33" i="19"/>
  <c r="W33" i="19"/>
  <c r="V33" i="19"/>
  <c r="T33" i="19"/>
  <c r="S33" i="19"/>
  <c r="R33" i="19"/>
  <c r="Q33" i="19"/>
  <c r="Y32" i="19"/>
  <c r="X32" i="19"/>
  <c r="W32" i="19"/>
  <c r="V32" i="19"/>
  <c r="T32" i="19"/>
  <c r="S32" i="19"/>
  <c r="R32" i="19"/>
  <c r="Q32" i="19"/>
  <c r="Y31" i="19"/>
  <c r="X31" i="19"/>
  <c r="W31" i="19"/>
  <c r="V31" i="19"/>
  <c r="T31" i="19"/>
  <c r="S31" i="19"/>
  <c r="R31" i="19"/>
  <c r="Q31" i="19"/>
  <c r="Y30" i="19"/>
  <c r="X30" i="19"/>
  <c r="W30" i="19"/>
  <c r="V30" i="19"/>
  <c r="T30" i="19"/>
  <c r="S30" i="19"/>
  <c r="R30" i="19"/>
  <c r="Q30" i="19"/>
  <c r="Y29" i="19"/>
  <c r="X29" i="19"/>
  <c r="W29" i="19"/>
  <c r="V29" i="19"/>
  <c r="T29" i="19"/>
  <c r="S29" i="19"/>
  <c r="R29" i="19"/>
  <c r="Q29" i="19"/>
  <c r="Y28" i="19"/>
  <c r="X28" i="19"/>
  <c r="W28" i="19"/>
  <c r="V28" i="19"/>
  <c r="T28" i="19"/>
  <c r="S28" i="19"/>
  <c r="R28" i="19"/>
  <c r="Q28" i="19"/>
  <c r="O28" i="19"/>
  <c r="N28" i="19"/>
  <c r="M28" i="19"/>
  <c r="L28" i="19"/>
  <c r="K28" i="19"/>
  <c r="J28" i="19"/>
  <c r="I28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7" i="19"/>
  <c r="H4" i="19"/>
  <c r="F4" i="19"/>
  <c r="E4" i="19"/>
  <c r="H3" i="19"/>
  <c r="F3" i="19"/>
  <c r="E3" i="19"/>
  <c r="Y40" i="18"/>
  <c r="X40" i="18"/>
  <c r="W40" i="18"/>
  <c r="V40" i="18"/>
  <c r="T40" i="18"/>
  <c r="S40" i="18"/>
  <c r="R40" i="18"/>
  <c r="Q40" i="18"/>
  <c r="Y39" i="18"/>
  <c r="X39" i="18"/>
  <c r="W39" i="18"/>
  <c r="V39" i="18"/>
  <c r="T39" i="18"/>
  <c r="S39" i="18"/>
  <c r="R39" i="18"/>
  <c r="Q39" i="18"/>
  <c r="Y38" i="18"/>
  <c r="X38" i="18"/>
  <c r="W38" i="18"/>
  <c r="V38" i="18"/>
  <c r="T38" i="18"/>
  <c r="S38" i="18"/>
  <c r="R38" i="18"/>
  <c r="Q38" i="18"/>
  <c r="Y37" i="18"/>
  <c r="X37" i="18"/>
  <c r="W37" i="18"/>
  <c r="V37" i="18"/>
  <c r="T37" i="18"/>
  <c r="S37" i="18"/>
  <c r="R37" i="18"/>
  <c r="Q37" i="18"/>
  <c r="Y36" i="18"/>
  <c r="X36" i="18"/>
  <c r="W36" i="18"/>
  <c r="V36" i="18"/>
  <c r="T36" i="18"/>
  <c r="S36" i="18"/>
  <c r="R36" i="18"/>
  <c r="Q36" i="18"/>
  <c r="Y35" i="18"/>
  <c r="X35" i="18"/>
  <c r="W35" i="18"/>
  <c r="V35" i="18"/>
  <c r="T35" i="18"/>
  <c r="S35" i="18"/>
  <c r="R35" i="18"/>
  <c r="Q35" i="18"/>
  <c r="Y34" i="18"/>
  <c r="X34" i="18"/>
  <c r="W34" i="18"/>
  <c r="V34" i="18"/>
  <c r="T34" i="18"/>
  <c r="S34" i="18"/>
  <c r="R34" i="18"/>
  <c r="Q34" i="18"/>
  <c r="Y33" i="18"/>
  <c r="X33" i="18"/>
  <c r="W33" i="18"/>
  <c r="V33" i="18"/>
  <c r="T33" i="18"/>
  <c r="S33" i="18"/>
  <c r="R33" i="18"/>
  <c r="Q33" i="18"/>
  <c r="Y32" i="18"/>
  <c r="X32" i="18"/>
  <c r="W32" i="18"/>
  <c r="V32" i="18"/>
  <c r="T32" i="18"/>
  <c r="S32" i="18"/>
  <c r="R32" i="18"/>
  <c r="Q32" i="18"/>
  <c r="Y31" i="18"/>
  <c r="X31" i="18"/>
  <c r="W31" i="18"/>
  <c r="V31" i="18"/>
  <c r="T31" i="18"/>
  <c r="S31" i="18"/>
  <c r="R31" i="18"/>
  <c r="Q31" i="18"/>
  <c r="Y30" i="18"/>
  <c r="X30" i="18"/>
  <c r="W30" i="18"/>
  <c r="V30" i="18"/>
  <c r="T30" i="18"/>
  <c r="S30" i="18"/>
  <c r="R30" i="18"/>
  <c r="Q30" i="18"/>
  <c r="Y29" i="18"/>
  <c r="X29" i="18"/>
  <c r="W29" i="18"/>
  <c r="V29" i="18"/>
  <c r="T29" i="18"/>
  <c r="S29" i="18"/>
  <c r="R29" i="18"/>
  <c r="Q29" i="18"/>
  <c r="Y28" i="18"/>
  <c r="X28" i="18"/>
  <c r="W28" i="18"/>
  <c r="V28" i="18"/>
  <c r="T28" i="18"/>
  <c r="S28" i="18"/>
  <c r="R28" i="18"/>
  <c r="Q28" i="18"/>
  <c r="O28" i="18"/>
  <c r="N28" i="18"/>
  <c r="M28" i="18"/>
  <c r="L28" i="18"/>
  <c r="K28" i="18"/>
  <c r="J28" i="18"/>
  <c r="I28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7" i="18"/>
  <c r="H4" i="18"/>
  <c r="F4" i="18"/>
  <c r="E4" i="18"/>
  <c r="H3" i="18"/>
  <c r="F3" i="18"/>
  <c r="E3" i="18"/>
  <c r="Y40" i="17"/>
  <c r="X40" i="17"/>
  <c r="W40" i="17"/>
  <c r="V40" i="17"/>
  <c r="T40" i="17"/>
  <c r="S40" i="17"/>
  <c r="R40" i="17"/>
  <c r="Q40" i="17"/>
  <c r="Y39" i="17"/>
  <c r="X39" i="17"/>
  <c r="W39" i="17"/>
  <c r="V39" i="17"/>
  <c r="T39" i="17"/>
  <c r="S39" i="17"/>
  <c r="R39" i="17"/>
  <c r="Q39" i="17"/>
  <c r="Y38" i="17"/>
  <c r="X38" i="17"/>
  <c r="W38" i="17"/>
  <c r="V38" i="17"/>
  <c r="T38" i="17"/>
  <c r="S38" i="17"/>
  <c r="R38" i="17"/>
  <c r="Q38" i="17"/>
  <c r="Y37" i="17"/>
  <c r="X37" i="17"/>
  <c r="W37" i="17"/>
  <c r="V37" i="17"/>
  <c r="T37" i="17"/>
  <c r="S37" i="17"/>
  <c r="R37" i="17"/>
  <c r="Q37" i="17"/>
  <c r="Y36" i="17"/>
  <c r="X36" i="17"/>
  <c r="W36" i="17"/>
  <c r="V36" i="17"/>
  <c r="T36" i="17"/>
  <c r="S36" i="17"/>
  <c r="R36" i="17"/>
  <c r="Q36" i="17"/>
  <c r="Y35" i="17"/>
  <c r="X35" i="17"/>
  <c r="W35" i="17"/>
  <c r="V35" i="17"/>
  <c r="T35" i="17"/>
  <c r="S35" i="17"/>
  <c r="R35" i="17"/>
  <c r="Q35" i="17"/>
  <c r="Y34" i="17"/>
  <c r="X34" i="17"/>
  <c r="W34" i="17"/>
  <c r="V34" i="17"/>
  <c r="T34" i="17"/>
  <c r="S34" i="17"/>
  <c r="R34" i="17"/>
  <c r="Q34" i="17"/>
  <c r="Y33" i="17"/>
  <c r="X33" i="17"/>
  <c r="W33" i="17"/>
  <c r="V33" i="17"/>
  <c r="T33" i="17"/>
  <c r="S33" i="17"/>
  <c r="R33" i="17"/>
  <c r="Q33" i="17"/>
  <c r="Y32" i="17"/>
  <c r="X32" i="17"/>
  <c r="W32" i="17"/>
  <c r="V32" i="17"/>
  <c r="T32" i="17"/>
  <c r="S32" i="17"/>
  <c r="R32" i="17"/>
  <c r="Q32" i="17"/>
  <c r="Y31" i="17"/>
  <c r="X31" i="17"/>
  <c r="W31" i="17"/>
  <c r="V31" i="17"/>
  <c r="T31" i="17"/>
  <c r="S31" i="17"/>
  <c r="R31" i="17"/>
  <c r="Q31" i="17"/>
  <c r="Y30" i="17"/>
  <c r="X30" i="17"/>
  <c r="W30" i="17"/>
  <c r="V30" i="17"/>
  <c r="T30" i="17"/>
  <c r="S30" i="17"/>
  <c r="R30" i="17"/>
  <c r="Q30" i="17"/>
  <c r="Y29" i="17"/>
  <c r="X29" i="17"/>
  <c r="W29" i="17"/>
  <c r="V29" i="17"/>
  <c r="T29" i="17"/>
  <c r="S29" i="17"/>
  <c r="R29" i="17"/>
  <c r="Q29" i="17"/>
  <c r="Y28" i="17"/>
  <c r="X28" i="17"/>
  <c r="W28" i="17"/>
  <c r="V28" i="17"/>
  <c r="T28" i="17"/>
  <c r="S28" i="17"/>
  <c r="R28" i="17"/>
  <c r="Q28" i="17"/>
  <c r="O28" i="17"/>
  <c r="N28" i="17"/>
  <c r="M28" i="17"/>
  <c r="L28" i="17"/>
  <c r="K28" i="17"/>
  <c r="J28" i="17"/>
  <c r="I28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7" i="17"/>
  <c r="H4" i="17"/>
  <c r="F4" i="17"/>
  <c r="E4" i="17"/>
  <c r="H3" i="17"/>
  <c r="F3" i="17"/>
  <c r="E3" i="17"/>
  <c r="Y40" i="14"/>
  <c r="X40" i="14"/>
  <c r="W40" i="14"/>
  <c r="V40" i="14"/>
  <c r="T40" i="14"/>
  <c r="S40" i="14"/>
  <c r="R40" i="14"/>
  <c r="Q40" i="14"/>
  <c r="Y39" i="14"/>
  <c r="X39" i="14"/>
  <c r="W39" i="14"/>
  <c r="V39" i="14"/>
  <c r="T39" i="14"/>
  <c r="S39" i="14"/>
  <c r="R39" i="14"/>
  <c r="Q39" i="14"/>
  <c r="Y38" i="14"/>
  <c r="X38" i="14"/>
  <c r="W38" i="14"/>
  <c r="V38" i="14"/>
  <c r="T38" i="14"/>
  <c r="S38" i="14"/>
  <c r="R38" i="14"/>
  <c r="Q38" i="14"/>
  <c r="Y37" i="14"/>
  <c r="X37" i="14"/>
  <c r="W37" i="14"/>
  <c r="V37" i="14"/>
  <c r="T37" i="14"/>
  <c r="S37" i="14"/>
  <c r="R37" i="14"/>
  <c r="Q37" i="14"/>
  <c r="Y36" i="14"/>
  <c r="X36" i="14"/>
  <c r="W36" i="14"/>
  <c r="V36" i="14"/>
  <c r="T36" i="14"/>
  <c r="S36" i="14"/>
  <c r="R36" i="14"/>
  <c r="Q36" i="14"/>
  <c r="Y35" i="14"/>
  <c r="X35" i="14"/>
  <c r="W35" i="14"/>
  <c r="V35" i="14"/>
  <c r="T35" i="14"/>
  <c r="S35" i="14"/>
  <c r="R35" i="14"/>
  <c r="Q35" i="14"/>
  <c r="Y34" i="14"/>
  <c r="X34" i="14"/>
  <c r="W34" i="14"/>
  <c r="V34" i="14"/>
  <c r="T34" i="14"/>
  <c r="S34" i="14"/>
  <c r="R34" i="14"/>
  <c r="Q34" i="14"/>
  <c r="Y33" i="14"/>
  <c r="X33" i="14"/>
  <c r="W33" i="14"/>
  <c r="V33" i="14"/>
  <c r="T33" i="14"/>
  <c r="S33" i="14"/>
  <c r="R33" i="14"/>
  <c r="Q33" i="14"/>
  <c r="Y32" i="14"/>
  <c r="X32" i="14"/>
  <c r="W32" i="14"/>
  <c r="V32" i="14"/>
  <c r="T32" i="14"/>
  <c r="S32" i="14"/>
  <c r="R32" i="14"/>
  <c r="Q32" i="14"/>
  <c r="Y31" i="14"/>
  <c r="X31" i="14"/>
  <c r="W31" i="14"/>
  <c r="V31" i="14"/>
  <c r="T31" i="14"/>
  <c r="S31" i="14"/>
  <c r="R31" i="14"/>
  <c r="Q31" i="14"/>
  <c r="Y30" i="14"/>
  <c r="X30" i="14"/>
  <c r="W30" i="14"/>
  <c r="V30" i="14"/>
  <c r="T30" i="14"/>
  <c r="S30" i="14"/>
  <c r="R30" i="14"/>
  <c r="Q30" i="14"/>
  <c r="Y29" i="14"/>
  <c r="X29" i="14"/>
  <c r="W29" i="14"/>
  <c r="V29" i="14"/>
  <c r="T29" i="14"/>
  <c r="S29" i="14"/>
  <c r="R29" i="14"/>
  <c r="Q29" i="14"/>
  <c r="Y28" i="14"/>
  <c r="X28" i="14"/>
  <c r="W28" i="14"/>
  <c r="V28" i="14"/>
  <c r="T28" i="14"/>
  <c r="S28" i="14"/>
  <c r="R28" i="14"/>
  <c r="Q28" i="14"/>
  <c r="O28" i="14"/>
  <c r="N28" i="14"/>
  <c r="M28" i="14"/>
  <c r="L28" i="14"/>
  <c r="K28" i="14"/>
  <c r="J28" i="14"/>
  <c r="I28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7" i="14"/>
  <c r="H4" i="14"/>
  <c r="F4" i="14"/>
  <c r="E4" i="14"/>
  <c r="H3" i="14"/>
  <c r="F3" i="14"/>
  <c r="E3" i="14"/>
  <c r="Y40" i="13"/>
  <c r="X40" i="13"/>
  <c r="W40" i="13"/>
  <c r="V40" i="13"/>
  <c r="T40" i="13"/>
  <c r="S40" i="13"/>
  <c r="R40" i="13"/>
  <c r="Q40" i="13"/>
  <c r="Y39" i="13"/>
  <c r="X39" i="13"/>
  <c r="W39" i="13"/>
  <c r="V39" i="13"/>
  <c r="T39" i="13"/>
  <c r="S39" i="13"/>
  <c r="R39" i="13"/>
  <c r="Q39" i="13"/>
  <c r="Y38" i="13"/>
  <c r="X38" i="13"/>
  <c r="W38" i="13"/>
  <c r="V38" i="13"/>
  <c r="T38" i="13"/>
  <c r="S38" i="13"/>
  <c r="R38" i="13"/>
  <c r="Q38" i="13"/>
  <c r="Y37" i="13"/>
  <c r="X37" i="13"/>
  <c r="W37" i="13"/>
  <c r="V37" i="13"/>
  <c r="T37" i="13"/>
  <c r="S37" i="13"/>
  <c r="R37" i="13"/>
  <c r="Q37" i="13"/>
  <c r="Y36" i="13"/>
  <c r="X36" i="13"/>
  <c r="W36" i="13"/>
  <c r="V36" i="13"/>
  <c r="T36" i="13"/>
  <c r="S36" i="13"/>
  <c r="R36" i="13"/>
  <c r="Q36" i="13"/>
  <c r="Y35" i="13"/>
  <c r="X35" i="13"/>
  <c r="W35" i="13"/>
  <c r="V35" i="13"/>
  <c r="T35" i="13"/>
  <c r="S35" i="13"/>
  <c r="R35" i="13"/>
  <c r="Q35" i="13"/>
  <c r="Y34" i="13"/>
  <c r="X34" i="13"/>
  <c r="W34" i="13"/>
  <c r="V34" i="13"/>
  <c r="T34" i="13"/>
  <c r="S34" i="13"/>
  <c r="R34" i="13"/>
  <c r="Q34" i="13"/>
  <c r="Y33" i="13"/>
  <c r="X33" i="13"/>
  <c r="W33" i="13"/>
  <c r="V33" i="13"/>
  <c r="T33" i="13"/>
  <c r="S33" i="13"/>
  <c r="R33" i="13"/>
  <c r="Q33" i="13"/>
  <c r="Y32" i="13"/>
  <c r="X32" i="13"/>
  <c r="W32" i="13"/>
  <c r="V32" i="13"/>
  <c r="T32" i="13"/>
  <c r="S32" i="13"/>
  <c r="R32" i="13"/>
  <c r="Q32" i="13"/>
  <c r="Y31" i="13"/>
  <c r="X31" i="13"/>
  <c r="W31" i="13"/>
  <c r="V31" i="13"/>
  <c r="T31" i="13"/>
  <c r="S31" i="13"/>
  <c r="R31" i="13"/>
  <c r="Q31" i="13"/>
  <c r="Y30" i="13"/>
  <c r="X30" i="13"/>
  <c r="W30" i="13"/>
  <c r="V30" i="13"/>
  <c r="T30" i="13"/>
  <c r="S30" i="13"/>
  <c r="R30" i="13"/>
  <c r="Q30" i="13"/>
  <c r="Y29" i="13"/>
  <c r="X29" i="13"/>
  <c r="W29" i="13"/>
  <c r="V29" i="13"/>
  <c r="T29" i="13"/>
  <c r="S29" i="13"/>
  <c r="R29" i="13"/>
  <c r="Q29" i="13"/>
  <c r="Y28" i="13"/>
  <c r="X28" i="13"/>
  <c r="W28" i="13"/>
  <c r="V28" i="13"/>
  <c r="T28" i="13"/>
  <c r="S28" i="13"/>
  <c r="R28" i="13"/>
  <c r="Q28" i="13"/>
  <c r="O28" i="13"/>
  <c r="N28" i="13"/>
  <c r="M28" i="13"/>
  <c r="L28" i="13"/>
  <c r="K28" i="13"/>
  <c r="J28" i="13"/>
  <c r="I28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7" i="13"/>
  <c r="H4" i="13"/>
  <c r="F4" i="13"/>
  <c r="E4" i="13"/>
  <c r="H3" i="13"/>
  <c r="F3" i="13"/>
  <c r="E3" i="13"/>
  <c r="Y40" i="12"/>
  <c r="X40" i="12"/>
  <c r="W40" i="12"/>
  <c r="V40" i="12"/>
  <c r="T40" i="12"/>
  <c r="S40" i="12"/>
  <c r="R40" i="12"/>
  <c r="Q40" i="12"/>
  <c r="Y39" i="12"/>
  <c r="X39" i="12"/>
  <c r="W39" i="12"/>
  <c r="V39" i="12"/>
  <c r="T39" i="12"/>
  <c r="S39" i="12"/>
  <c r="R39" i="12"/>
  <c r="Q39" i="12"/>
  <c r="Y38" i="12"/>
  <c r="X38" i="12"/>
  <c r="W38" i="12"/>
  <c r="V38" i="12"/>
  <c r="T38" i="12"/>
  <c r="S38" i="12"/>
  <c r="R38" i="12"/>
  <c r="Q38" i="12"/>
  <c r="Y37" i="12"/>
  <c r="X37" i="12"/>
  <c r="W37" i="12"/>
  <c r="V37" i="12"/>
  <c r="T37" i="12"/>
  <c r="S37" i="12"/>
  <c r="R37" i="12"/>
  <c r="Q37" i="12"/>
  <c r="Y36" i="12"/>
  <c r="X36" i="12"/>
  <c r="W36" i="12"/>
  <c r="V36" i="12"/>
  <c r="T36" i="12"/>
  <c r="S36" i="12"/>
  <c r="R36" i="12"/>
  <c r="Q36" i="12"/>
  <c r="Y35" i="12"/>
  <c r="X35" i="12"/>
  <c r="W35" i="12"/>
  <c r="V35" i="12"/>
  <c r="T35" i="12"/>
  <c r="S35" i="12"/>
  <c r="R35" i="12"/>
  <c r="Q35" i="12"/>
  <c r="Y34" i="12"/>
  <c r="X34" i="12"/>
  <c r="W34" i="12"/>
  <c r="V34" i="12"/>
  <c r="T34" i="12"/>
  <c r="S34" i="12"/>
  <c r="R34" i="12"/>
  <c r="Q34" i="12"/>
  <c r="Y33" i="12"/>
  <c r="X33" i="12"/>
  <c r="W33" i="12"/>
  <c r="V33" i="12"/>
  <c r="T33" i="12"/>
  <c r="S33" i="12"/>
  <c r="R33" i="12"/>
  <c r="Q33" i="12"/>
  <c r="Y32" i="12"/>
  <c r="X32" i="12"/>
  <c r="W32" i="12"/>
  <c r="V32" i="12"/>
  <c r="T32" i="12"/>
  <c r="S32" i="12"/>
  <c r="R32" i="12"/>
  <c r="Q32" i="12"/>
  <c r="Y31" i="12"/>
  <c r="X31" i="12"/>
  <c r="W31" i="12"/>
  <c r="V31" i="12"/>
  <c r="T31" i="12"/>
  <c r="S31" i="12"/>
  <c r="R31" i="12"/>
  <c r="Q31" i="12"/>
  <c r="Y30" i="12"/>
  <c r="X30" i="12"/>
  <c r="W30" i="12"/>
  <c r="V30" i="12"/>
  <c r="T30" i="12"/>
  <c r="S30" i="12"/>
  <c r="R30" i="12"/>
  <c r="Q30" i="12"/>
  <c r="Y29" i="12"/>
  <c r="X29" i="12"/>
  <c r="W29" i="12"/>
  <c r="V29" i="12"/>
  <c r="T29" i="12"/>
  <c r="S29" i="12"/>
  <c r="R29" i="12"/>
  <c r="Q29" i="12"/>
  <c r="Y28" i="12"/>
  <c r="X28" i="12"/>
  <c r="W28" i="12"/>
  <c r="V28" i="12"/>
  <c r="T28" i="12"/>
  <c r="S28" i="12"/>
  <c r="R28" i="12"/>
  <c r="Q28" i="12"/>
  <c r="O28" i="12"/>
  <c r="N28" i="12"/>
  <c r="M28" i="12"/>
  <c r="L28" i="12"/>
  <c r="K28" i="12"/>
  <c r="J28" i="12"/>
  <c r="I28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7" i="12"/>
  <c r="H4" i="12"/>
  <c r="F4" i="12"/>
  <c r="E4" i="12"/>
  <c r="H3" i="12"/>
  <c r="F3" i="12"/>
  <c r="E3" i="12"/>
  <c r="Y40" i="11"/>
  <c r="X40" i="11"/>
  <c r="W40" i="11"/>
  <c r="V40" i="11"/>
  <c r="T40" i="11"/>
  <c r="S40" i="11"/>
  <c r="R40" i="11"/>
  <c r="Q40" i="11"/>
  <c r="Y39" i="11"/>
  <c r="X39" i="11"/>
  <c r="W39" i="11"/>
  <c r="V39" i="11"/>
  <c r="T39" i="11"/>
  <c r="S39" i="11"/>
  <c r="R39" i="11"/>
  <c r="Q39" i="11"/>
  <c r="Y38" i="11"/>
  <c r="X38" i="11"/>
  <c r="W38" i="11"/>
  <c r="V38" i="11"/>
  <c r="T38" i="11"/>
  <c r="S38" i="11"/>
  <c r="R38" i="11"/>
  <c r="Q38" i="11"/>
  <c r="Y37" i="11"/>
  <c r="X37" i="11"/>
  <c r="W37" i="11"/>
  <c r="V37" i="11"/>
  <c r="T37" i="11"/>
  <c r="S37" i="11"/>
  <c r="R37" i="11"/>
  <c r="Q37" i="11"/>
  <c r="Y36" i="11"/>
  <c r="X36" i="11"/>
  <c r="W36" i="11"/>
  <c r="V36" i="11"/>
  <c r="T36" i="11"/>
  <c r="S36" i="11"/>
  <c r="R36" i="11"/>
  <c r="Q36" i="11"/>
  <c r="Y35" i="11"/>
  <c r="X35" i="11"/>
  <c r="W35" i="11"/>
  <c r="V35" i="11"/>
  <c r="T35" i="11"/>
  <c r="S35" i="11"/>
  <c r="R35" i="11"/>
  <c r="Q35" i="11"/>
  <c r="Y34" i="11"/>
  <c r="X34" i="11"/>
  <c r="W34" i="11"/>
  <c r="V34" i="11"/>
  <c r="T34" i="11"/>
  <c r="S34" i="11"/>
  <c r="R34" i="11"/>
  <c r="Q34" i="11"/>
  <c r="Y33" i="11"/>
  <c r="X33" i="11"/>
  <c r="W33" i="11"/>
  <c r="V33" i="11"/>
  <c r="T33" i="11"/>
  <c r="S33" i="11"/>
  <c r="R33" i="11"/>
  <c r="Q33" i="11"/>
  <c r="Y32" i="11"/>
  <c r="X32" i="11"/>
  <c r="W32" i="11"/>
  <c r="V32" i="11"/>
  <c r="T32" i="11"/>
  <c r="S32" i="11"/>
  <c r="R32" i="11"/>
  <c r="Q32" i="11"/>
  <c r="Y31" i="11"/>
  <c r="X31" i="11"/>
  <c r="W31" i="11"/>
  <c r="V31" i="11"/>
  <c r="T31" i="11"/>
  <c r="S31" i="11"/>
  <c r="R31" i="11"/>
  <c r="Q31" i="11"/>
  <c r="Y30" i="11"/>
  <c r="X30" i="11"/>
  <c r="W30" i="11"/>
  <c r="V30" i="11"/>
  <c r="T30" i="11"/>
  <c r="S30" i="11"/>
  <c r="R30" i="11"/>
  <c r="Q30" i="11"/>
  <c r="Y29" i="11"/>
  <c r="X29" i="11"/>
  <c r="W29" i="11"/>
  <c r="V29" i="11"/>
  <c r="T29" i="11"/>
  <c r="S29" i="11"/>
  <c r="R29" i="11"/>
  <c r="Q29" i="11"/>
  <c r="Y28" i="11"/>
  <c r="X28" i="11"/>
  <c r="W28" i="11"/>
  <c r="V28" i="11"/>
  <c r="T28" i="11"/>
  <c r="S28" i="11"/>
  <c r="R28" i="11"/>
  <c r="Q28" i="11"/>
  <c r="O28" i="11"/>
  <c r="N28" i="11"/>
  <c r="M28" i="11"/>
  <c r="L28" i="11"/>
  <c r="K28" i="11"/>
  <c r="J28" i="11"/>
  <c r="I28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7" i="11"/>
  <c r="H4" i="11"/>
  <c r="F4" i="11"/>
  <c r="E4" i="11"/>
  <c r="H3" i="11"/>
  <c r="F3" i="11"/>
  <c r="E3" i="11"/>
  <c r="Y40" i="6"/>
  <c r="X40" i="6"/>
  <c r="W40" i="6"/>
  <c r="V40" i="6"/>
  <c r="T40" i="6"/>
  <c r="S40" i="6"/>
  <c r="R40" i="6"/>
  <c r="Q40" i="6"/>
  <c r="Y39" i="6"/>
  <c r="X39" i="6"/>
  <c r="W39" i="6"/>
  <c r="V39" i="6"/>
  <c r="T39" i="6"/>
  <c r="S39" i="6"/>
  <c r="R39" i="6"/>
  <c r="Q39" i="6"/>
  <c r="Y38" i="6"/>
  <c r="X38" i="6"/>
  <c r="W38" i="6"/>
  <c r="V38" i="6"/>
  <c r="T38" i="6"/>
  <c r="S38" i="6"/>
  <c r="R38" i="6"/>
  <c r="Q38" i="6"/>
  <c r="Y37" i="6"/>
  <c r="X37" i="6"/>
  <c r="W37" i="6"/>
  <c r="V37" i="6"/>
  <c r="T37" i="6"/>
  <c r="S37" i="6"/>
  <c r="R37" i="6"/>
  <c r="Q37" i="6"/>
  <c r="Y36" i="6"/>
  <c r="X36" i="6"/>
  <c r="W36" i="6"/>
  <c r="V36" i="6"/>
  <c r="T36" i="6"/>
  <c r="S36" i="6"/>
  <c r="R36" i="6"/>
  <c r="Q36" i="6"/>
  <c r="Y35" i="6"/>
  <c r="X35" i="6"/>
  <c r="W35" i="6"/>
  <c r="V35" i="6"/>
  <c r="T35" i="6"/>
  <c r="S35" i="6"/>
  <c r="R35" i="6"/>
  <c r="Q35" i="6"/>
  <c r="Y34" i="6"/>
  <c r="X34" i="6"/>
  <c r="W34" i="6"/>
  <c r="V34" i="6"/>
  <c r="T34" i="6"/>
  <c r="S34" i="6"/>
  <c r="R34" i="6"/>
  <c r="Q34" i="6"/>
  <c r="Y33" i="6"/>
  <c r="X33" i="6"/>
  <c r="W33" i="6"/>
  <c r="V33" i="6"/>
  <c r="T33" i="6"/>
  <c r="S33" i="6"/>
  <c r="R33" i="6"/>
  <c r="Q33" i="6"/>
  <c r="Y32" i="6"/>
  <c r="X32" i="6"/>
  <c r="W32" i="6"/>
  <c r="V32" i="6"/>
  <c r="T32" i="6"/>
  <c r="S32" i="6"/>
  <c r="R32" i="6"/>
  <c r="Q32" i="6"/>
  <c r="Y31" i="6"/>
  <c r="X31" i="6"/>
  <c r="W31" i="6"/>
  <c r="V31" i="6"/>
  <c r="T31" i="6"/>
  <c r="S31" i="6"/>
  <c r="R31" i="6"/>
  <c r="Q31" i="6"/>
  <c r="Y30" i="6"/>
  <c r="X30" i="6"/>
  <c r="W30" i="6"/>
  <c r="V30" i="6"/>
  <c r="T30" i="6"/>
  <c r="S30" i="6"/>
  <c r="R30" i="6"/>
  <c r="Q30" i="6"/>
  <c r="Y29" i="6"/>
  <c r="X29" i="6"/>
  <c r="W29" i="6"/>
  <c r="V29" i="6"/>
  <c r="T29" i="6"/>
  <c r="S29" i="6"/>
  <c r="R29" i="6"/>
  <c r="Q29" i="6"/>
  <c r="Y28" i="6"/>
  <c r="X28" i="6"/>
  <c r="W28" i="6"/>
  <c r="V28" i="6"/>
  <c r="T28" i="6"/>
  <c r="S28" i="6"/>
  <c r="R28" i="6"/>
  <c r="Q28" i="6"/>
  <c r="O28" i="6"/>
  <c r="N28" i="6"/>
  <c r="M28" i="6"/>
  <c r="L28" i="6"/>
  <c r="K28" i="6"/>
  <c r="J28" i="6"/>
  <c r="I28" i="6"/>
  <c r="B24" i="6"/>
  <c r="B23" i="6"/>
  <c r="B22" i="6"/>
  <c r="B21" i="6"/>
  <c r="B20" i="6"/>
  <c r="B19" i="6"/>
  <c r="B18" i="6"/>
  <c r="B17" i="6"/>
  <c r="B16" i="6"/>
  <c r="B15" i="6"/>
  <c r="B14" i="6"/>
  <c r="B13" i="6"/>
  <c r="B7" i="6"/>
  <c r="H4" i="6"/>
  <c r="F4" i="6"/>
  <c r="E4" i="6"/>
  <c r="H3" i="6"/>
  <c r="F3" i="6"/>
  <c r="E3" i="6"/>
  <c r="Y40" i="5"/>
  <c r="X40" i="5"/>
  <c r="W40" i="5"/>
  <c r="V40" i="5"/>
  <c r="T40" i="5"/>
  <c r="S40" i="5"/>
  <c r="R40" i="5"/>
  <c r="Q40" i="5"/>
  <c r="Y39" i="5"/>
  <c r="X39" i="5"/>
  <c r="W39" i="5"/>
  <c r="V39" i="5"/>
  <c r="T39" i="5"/>
  <c r="S39" i="5"/>
  <c r="R39" i="5"/>
  <c r="Q39" i="5"/>
  <c r="Y38" i="5"/>
  <c r="X38" i="5"/>
  <c r="W38" i="5"/>
  <c r="V38" i="5"/>
  <c r="T38" i="5"/>
  <c r="S38" i="5"/>
  <c r="R38" i="5"/>
  <c r="Q38" i="5"/>
  <c r="Y37" i="5"/>
  <c r="X37" i="5"/>
  <c r="W37" i="5"/>
  <c r="V37" i="5"/>
  <c r="T37" i="5"/>
  <c r="S37" i="5"/>
  <c r="R37" i="5"/>
  <c r="Q37" i="5"/>
  <c r="Y36" i="5"/>
  <c r="X36" i="5"/>
  <c r="W36" i="5"/>
  <c r="V36" i="5"/>
  <c r="T36" i="5"/>
  <c r="S36" i="5"/>
  <c r="R36" i="5"/>
  <c r="Q36" i="5"/>
  <c r="Y35" i="5"/>
  <c r="X35" i="5"/>
  <c r="W35" i="5"/>
  <c r="V35" i="5"/>
  <c r="T35" i="5"/>
  <c r="S35" i="5"/>
  <c r="R35" i="5"/>
  <c r="Q35" i="5"/>
  <c r="Y34" i="5"/>
  <c r="X34" i="5"/>
  <c r="W34" i="5"/>
  <c r="V34" i="5"/>
  <c r="T34" i="5"/>
  <c r="S34" i="5"/>
  <c r="R34" i="5"/>
  <c r="Q34" i="5"/>
  <c r="Y33" i="5"/>
  <c r="X33" i="5"/>
  <c r="W33" i="5"/>
  <c r="V33" i="5"/>
  <c r="T33" i="5"/>
  <c r="S33" i="5"/>
  <c r="R33" i="5"/>
  <c r="Q33" i="5"/>
  <c r="Y32" i="5"/>
  <c r="X32" i="5"/>
  <c r="W32" i="5"/>
  <c r="V32" i="5"/>
  <c r="T32" i="5"/>
  <c r="S32" i="5"/>
  <c r="R32" i="5"/>
  <c r="Q32" i="5"/>
  <c r="Y31" i="5"/>
  <c r="X31" i="5"/>
  <c r="W31" i="5"/>
  <c r="V31" i="5"/>
  <c r="T31" i="5"/>
  <c r="S31" i="5"/>
  <c r="R31" i="5"/>
  <c r="Q31" i="5"/>
  <c r="Y30" i="5"/>
  <c r="X30" i="5"/>
  <c r="W30" i="5"/>
  <c r="V30" i="5"/>
  <c r="T30" i="5"/>
  <c r="S30" i="5"/>
  <c r="R30" i="5"/>
  <c r="Q30" i="5"/>
  <c r="Y29" i="5"/>
  <c r="X29" i="5"/>
  <c r="W29" i="5"/>
  <c r="V29" i="5"/>
  <c r="T29" i="5"/>
  <c r="S29" i="5"/>
  <c r="R29" i="5"/>
  <c r="Q29" i="5"/>
  <c r="Y28" i="5"/>
  <c r="X28" i="5"/>
  <c r="W28" i="5"/>
  <c r="V28" i="5"/>
  <c r="T28" i="5"/>
  <c r="S28" i="5"/>
  <c r="R28" i="5"/>
  <c r="Q28" i="5"/>
  <c r="O28" i="5"/>
  <c r="N28" i="5"/>
  <c r="M28" i="5"/>
  <c r="L28" i="5"/>
  <c r="K28" i="5"/>
  <c r="J28" i="5"/>
  <c r="I28" i="5"/>
  <c r="B24" i="5"/>
  <c r="B23" i="5"/>
  <c r="B22" i="5"/>
  <c r="B21" i="5"/>
  <c r="B20" i="5"/>
  <c r="B19" i="5"/>
  <c r="B18" i="5"/>
  <c r="B17" i="5"/>
  <c r="B16" i="5"/>
  <c r="B15" i="5"/>
  <c r="B14" i="5"/>
  <c r="B13" i="5"/>
  <c r="B7" i="5"/>
  <c r="H4" i="5"/>
  <c r="F4" i="5"/>
  <c r="E4" i="5"/>
  <c r="H3" i="5"/>
  <c r="F3" i="5"/>
  <c r="E3" i="5"/>
  <c r="Y40" i="4"/>
  <c r="X40" i="4"/>
  <c r="W40" i="4"/>
  <c r="V40" i="4"/>
  <c r="T40" i="4"/>
  <c r="S40" i="4"/>
  <c r="R40" i="4"/>
  <c r="Q40" i="4"/>
  <c r="Y39" i="4"/>
  <c r="X39" i="4"/>
  <c r="W39" i="4"/>
  <c r="V39" i="4"/>
  <c r="T39" i="4"/>
  <c r="S39" i="4"/>
  <c r="R39" i="4"/>
  <c r="Q39" i="4"/>
  <c r="Y38" i="4"/>
  <c r="X38" i="4"/>
  <c r="W38" i="4"/>
  <c r="V38" i="4"/>
  <c r="T38" i="4"/>
  <c r="S38" i="4"/>
  <c r="R38" i="4"/>
  <c r="Q38" i="4"/>
  <c r="Y37" i="4"/>
  <c r="X37" i="4"/>
  <c r="W37" i="4"/>
  <c r="V37" i="4"/>
  <c r="T37" i="4"/>
  <c r="S37" i="4"/>
  <c r="R37" i="4"/>
  <c r="Q37" i="4"/>
  <c r="Y36" i="4"/>
  <c r="X36" i="4"/>
  <c r="W36" i="4"/>
  <c r="V36" i="4"/>
  <c r="T36" i="4"/>
  <c r="S36" i="4"/>
  <c r="R36" i="4"/>
  <c r="Q36" i="4"/>
  <c r="Y35" i="4"/>
  <c r="X35" i="4"/>
  <c r="W35" i="4"/>
  <c r="V35" i="4"/>
  <c r="T35" i="4"/>
  <c r="S35" i="4"/>
  <c r="R35" i="4"/>
  <c r="Q35" i="4"/>
  <c r="Y34" i="4"/>
  <c r="X34" i="4"/>
  <c r="W34" i="4"/>
  <c r="V34" i="4"/>
  <c r="T34" i="4"/>
  <c r="S34" i="4"/>
  <c r="R34" i="4"/>
  <c r="Q34" i="4"/>
  <c r="Y33" i="4"/>
  <c r="X33" i="4"/>
  <c r="W33" i="4"/>
  <c r="V33" i="4"/>
  <c r="T33" i="4"/>
  <c r="S33" i="4"/>
  <c r="R33" i="4"/>
  <c r="Q33" i="4"/>
  <c r="Y32" i="4"/>
  <c r="X32" i="4"/>
  <c r="W32" i="4"/>
  <c r="V32" i="4"/>
  <c r="T32" i="4"/>
  <c r="S32" i="4"/>
  <c r="R32" i="4"/>
  <c r="Q32" i="4"/>
  <c r="Y31" i="4"/>
  <c r="X31" i="4"/>
  <c r="W31" i="4"/>
  <c r="V31" i="4"/>
  <c r="T31" i="4"/>
  <c r="S31" i="4"/>
  <c r="R31" i="4"/>
  <c r="Q31" i="4"/>
  <c r="Y30" i="4"/>
  <c r="X30" i="4"/>
  <c r="W30" i="4"/>
  <c r="V30" i="4"/>
  <c r="T30" i="4"/>
  <c r="S30" i="4"/>
  <c r="R30" i="4"/>
  <c r="Q30" i="4"/>
  <c r="Y29" i="4"/>
  <c r="X29" i="4"/>
  <c r="W29" i="4"/>
  <c r="V29" i="4"/>
  <c r="T29" i="4"/>
  <c r="S29" i="4"/>
  <c r="R29" i="4"/>
  <c r="Q29" i="4"/>
  <c r="Y28" i="4"/>
  <c r="X28" i="4"/>
  <c r="W28" i="4"/>
  <c r="V28" i="4"/>
  <c r="T28" i="4"/>
  <c r="S28" i="4"/>
  <c r="R28" i="4"/>
  <c r="Q28" i="4"/>
  <c r="O28" i="4"/>
  <c r="N28" i="4"/>
  <c r="M28" i="4"/>
  <c r="L28" i="4"/>
  <c r="K28" i="4"/>
  <c r="J28" i="4"/>
  <c r="I28" i="4"/>
  <c r="B24" i="4"/>
  <c r="B23" i="4"/>
  <c r="B22" i="4"/>
  <c r="B21" i="4"/>
  <c r="B20" i="4"/>
  <c r="B19" i="4"/>
  <c r="B18" i="4"/>
  <c r="B17" i="4"/>
  <c r="B16" i="4"/>
  <c r="B15" i="4"/>
  <c r="B14" i="4"/>
  <c r="B13" i="4"/>
  <c r="B7" i="4"/>
  <c r="H4" i="4"/>
  <c r="F4" i="4"/>
  <c r="E4" i="4"/>
  <c r="H3" i="4"/>
  <c r="F3" i="4"/>
  <c r="E3" i="4"/>
  <c r="Y40" i="3"/>
  <c r="X40" i="3"/>
  <c r="W40" i="3"/>
  <c r="V40" i="3"/>
  <c r="T40" i="3"/>
  <c r="S40" i="3"/>
  <c r="R40" i="3"/>
  <c r="Q40" i="3"/>
  <c r="Y39" i="3"/>
  <c r="X39" i="3"/>
  <c r="W39" i="3"/>
  <c r="V39" i="3"/>
  <c r="T39" i="3"/>
  <c r="S39" i="3"/>
  <c r="R39" i="3"/>
  <c r="Q39" i="3"/>
  <c r="Y38" i="3"/>
  <c r="X38" i="3"/>
  <c r="W38" i="3"/>
  <c r="V38" i="3"/>
  <c r="T38" i="3"/>
  <c r="S38" i="3"/>
  <c r="R38" i="3"/>
  <c r="Q38" i="3"/>
  <c r="Y37" i="3"/>
  <c r="X37" i="3"/>
  <c r="W37" i="3"/>
  <c r="V37" i="3"/>
  <c r="T37" i="3"/>
  <c r="S37" i="3"/>
  <c r="R37" i="3"/>
  <c r="Q37" i="3"/>
  <c r="Y36" i="3"/>
  <c r="X36" i="3"/>
  <c r="W36" i="3"/>
  <c r="V36" i="3"/>
  <c r="T36" i="3"/>
  <c r="S36" i="3"/>
  <c r="R36" i="3"/>
  <c r="Q36" i="3"/>
  <c r="Y35" i="3"/>
  <c r="X35" i="3"/>
  <c r="W35" i="3"/>
  <c r="V35" i="3"/>
  <c r="T35" i="3"/>
  <c r="S35" i="3"/>
  <c r="R35" i="3"/>
  <c r="Q35" i="3"/>
  <c r="Y34" i="3"/>
  <c r="X34" i="3"/>
  <c r="W34" i="3"/>
  <c r="V34" i="3"/>
  <c r="T34" i="3"/>
  <c r="S34" i="3"/>
  <c r="R34" i="3"/>
  <c r="Q34" i="3"/>
  <c r="Y33" i="3"/>
  <c r="X33" i="3"/>
  <c r="W33" i="3"/>
  <c r="V33" i="3"/>
  <c r="T33" i="3"/>
  <c r="S33" i="3"/>
  <c r="R33" i="3"/>
  <c r="Q33" i="3"/>
  <c r="Y32" i="3"/>
  <c r="X32" i="3"/>
  <c r="W32" i="3"/>
  <c r="V32" i="3"/>
  <c r="T32" i="3"/>
  <c r="S32" i="3"/>
  <c r="R32" i="3"/>
  <c r="Q32" i="3"/>
  <c r="Y31" i="3"/>
  <c r="X31" i="3"/>
  <c r="W31" i="3"/>
  <c r="V31" i="3"/>
  <c r="T31" i="3"/>
  <c r="S31" i="3"/>
  <c r="R31" i="3"/>
  <c r="Q31" i="3"/>
  <c r="Y30" i="3"/>
  <c r="X30" i="3"/>
  <c r="W30" i="3"/>
  <c r="V30" i="3"/>
  <c r="T30" i="3"/>
  <c r="S30" i="3"/>
  <c r="R30" i="3"/>
  <c r="Q30" i="3"/>
  <c r="Y29" i="3"/>
  <c r="X29" i="3"/>
  <c r="W29" i="3"/>
  <c r="V29" i="3"/>
  <c r="T29" i="3"/>
  <c r="S29" i="3"/>
  <c r="R29" i="3"/>
  <c r="Q29" i="3"/>
  <c r="Y28" i="3"/>
  <c r="X28" i="3"/>
  <c r="W28" i="3"/>
  <c r="V28" i="3"/>
  <c r="T28" i="3"/>
  <c r="S28" i="3"/>
  <c r="R28" i="3"/>
  <c r="Q28" i="3"/>
  <c r="O28" i="3"/>
  <c r="N28" i="3"/>
  <c r="M28" i="3"/>
  <c r="L28" i="3"/>
  <c r="K28" i="3"/>
  <c r="J28" i="3"/>
  <c r="I28" i="3"/>
  <c r="B24" i="3"/>
  <c r="B23" i="3"/>
  <c r="B22" i="3"/>
  <c r="B21" i="3"/>
  <c r="B20" i="3"/>
  <c r="B19" i="3"/>
  <c r="B18" i="3"/>
  <c r="B17" i="3"/>
  <c r="B16" i="3"/>
  <c r="B15" i="3"/>
  <c r="B14" i="3"/>
  <c r="B13" i="3"/>
  <c r="B7" i="3"/>
  <c r="H4" i="3"/>
  <c r="F4" i="3"/>
  <c r="E4" i="3"/>
  <c r="H3" i="3"/>
  <c r="F3" i="3"/>
  <c r="E3" i="3"/>
  <c r="Y40" i="8"/>
  <c r="X40" i="8"/>
  <c r="W40" i="8"/>
  <c r="V40" i="8"/>
  <c r="T40" i="8"/>
  <c r="S40" i="8"/>
  <c r="R40" i="8"/>
  <c r="Q40" i="8"/>
  <c r="Y39" i="8"/>
  <c r="X39" i="8"/>
  <c r="W39" i="8"/>
  <c r="V39" i="8"/>
  <c r="T39" i="8"/>
  <c r="S39" i="8"/>
  <c r="R39" i="8"/>
  <c r="Q39" i="8"/>
  <c r="Y38" i="8"/>
  <c r="X38" i="8"/>
  <c r="W38" i="8"/>
  <c r="V38" i="8"/>
  <c r="T38" i="8"/>
  <c r="S38" i="8"/>
  <c r="R38" i="8"/>
  <c r="Q38" i="8"/>
  <c r="Y37" i="8"/>
  <c r="X37" i="8"/>
  <c r="W37" i="8"/>
  <c r="V37" i="8"/>
  <c r="T37" i="8"/>
  <c r="S37" i="8"/>
  <c r="R37" i="8"/>
  <c r="Q37" i="8"/>
  <c r="Y36" i="8"/>
  <c r="X36" i="8"/>
  <c r="W36" i="8"/>
  <c r="V36" i="8"/>
  <c r="T36" i="8"/>
  <c r="S36" i="8"/>
  <c r="R36" i="8"/>
  <c r="Q36" i="8"/>
  <c r="Y35" i="8"/>
  <c r="X35" i="8"/>
  <c r="W35" i="8"/>
  <c r="V35" i="8"/>
  <c r="T35" i="8"/>
  <c r="S35" i="8"/>
  <c r="R35" i="8"/>
  <c r="Q35" i="8"/>
  <c r="Y34" i="8"/>
  <c r="X34" i="8"/>
  <c r="W34" i="8"/>
  <c r="V34" i="8"/>
  <c r="T34" i="8"/>
  <c r="S34" i="8"/>
  <c r="R34" i="8"/>
  <c r="Q34" i="8"/>
  <c r="Y33" i="8"/>
  <c r="X33" i="8"/>
  <c r="W33" i="8"/>
  <c r="V33" i="8"/>
  <c r="T33" i="8"/>
  <c r="S33" i="8"/>
  <c r="R33" i="8"/>
  <c r="Q33" i="8"/>
  <c r="Y32" i="8"/>
  <c r="X32" i="8"/>
  <c r="W32" i="8"/>
  <c r="V32" i="8"/>
  <c r="T32" i="8"/>
  <c r="S32" i="8"/>
  <c r="R32" i="8"/>
  <c r="Q32" i="8"/>
  <c r="Y31" i="8"/>
  <c r="X31" i="8"/>
  <c r="W31" i="8"/>
  <c r="V31" i="8"/>
  <c r="T31" i="8"/>
  <c r="S31" i="8"/>
  <c r="R31" i="8"/>
  <c r="Q31" i="8"/>
  <c r="Y30" i="8"/>
  <c r="X30" i="8"/>
  <c r="W30" i="8"/>
  <c r="V30" i="8"/>
  <c r="T30" i="8"/>
  <c r="S30" i="8"/>
  <c r="R30" i="8"/>
  <c r="Q30" i="8"/>
  <c r="Y29" i="8"/>
  <c r="X29" i="8"/>
  <c r="W29" i="8"/>
  <c r="V29" i="8"/>
  <c r="T29" i="8"/>
  <c r="S29" i="8"/>
  <c r="R29" i="8"/>
  <c r="Q29" i="8"/>
  <c r="Y28" i="8"/>
  <c r="X28" i="8"/>
  <c r="W28" i="8"/>
  <c r="V28" i="8"/>
  <c r="T28" i="8"/>
  <c r="S28" i="8"/>
  <c r="R28" i="8"/>
  <c r="Q28" i="8"/>
  <c r="O28" i="8"/>
  <c r="N28" i="8"/>
  <c r="M28" i="8"/>
  <c r="L28" i="8"/>
  <c r="K28" i="8"/>
  <c r="J28" i="8"/>
  <c r="I28" i="8"/>
  <c r="B24" i="8"/>
  <c r="B22" i="8"/>
  <c r="B21" i="8"/>
  <c r="B20" i="8"/>
  <c r="B19" i="8"/>
  <c r="B18" i="8"/>
  <c r="B17" i="8"/>
  <c r="B16" i="8"/>
  <c r="B15" i="8"/>
  <c r="B14" i="8"/>
  <c r="B13" i="8"/>
  <c r="B7" i="8"/>
  <c r="H4" i="8"/>
  <c r="F4" i="8"/>
  <c r="E4" i="8"/>
  <c r="H3" i="8"/>
  <c r="F3" i="8"/>
  <c r="E3" i="8"/>
  <c r="Y40" i="2"/>
  <c r="X40" i="2"/>
  <c r="W40" i="2"/>
  <c r="V40" i="2"/>
  <c r="T40" i="2"/>
  <c r="S40" i="2"/>
  <c r="R40" i="2"/>
  <c r="Q40" i="2"/>
  <c r="Y39" i="2"/>
  <c r="X39" i="2"/>
  <c r="W39" i="2"/>
  <c r="V39" i="2"/>
  <c r="T39" i="2"/>
  <c r="S39" i="2"/>
  <c r="R39" i="2"/>
  <c r="Q39" i="2"/>
  <c r="Y38" i="2"/>
  <c r="X38" i="2"/>
  <c r="W38" i="2"/>
  <c r="V38" i="2"/>
  <c r="T38" i="2"/>
  <c r="S38" i="2"/>
  <c r="R38" i="2"/>
  <c r="Q38" i="2"/>
  <c r="Y37" i="2"/>
  <c r="X37" i="2"/>
  <c r="W37" i="2"/>
  <c r="V37" i="2"/>
  <c r="T37" i="2"/>
  <c r="S37" i="2"/>
  <c r="R37" i="2"/>
  <c r="Q37" i="2"/>
  <c r="Y36" i="2"/>
  <c r="X36" i="2"/>
  <c r="W36" i="2"/>
  <c r="V36" i="2"/>
  <c r="T36" i="2"/>
  <c r="S36" i="2"/>
  <c r="R36" i="2"/>
  <c r="Q36" i="2"/>
  <c r="Y35" i="2"/>
  <c r="X35" i="2"/>
  <c r="W35" i="2"/>
  <c r="V35" i="2"/>
  <c r="T35" i="2"/>
  <c r="S35" i="2"/>
  <c r="R35" i="2"/>
  <c r="Q35" i="2"/>
  <c r="Y34" i="2"/>
  <c r="X34" i="2"/>
  <c r="W34" i="2"/>
  <c r="V34" i="2"/>
  <c r="T34" i="2"/>
  <c r="S34" i="2"/>
  <c r="R34" i="2"/>
  <c r="Q34" i="2"/>
  <c r="Y33" i="2"/>
  <c r="X33" i="2"/>
  <c r="W33" i="2"/>
  <c r="V33" i="2"/>
  <c r="T33" i="2"/>
  <c r="S33" i="2"/>
  <c r="R33" i="2"/>
  <c r="Q33" i="2"/>
  <c r="Y32" i="2"/>
  <c r="X32" i="2"/>
  <c r="W32" i="2"/>
  <c r="V32" i="2"/>
  <c r="T32" i="2"/>
  <c r="S32" i="2"/>
  <c r="R32" i="2"/>
  <c r="Q32" i="2"/>
  <c r="Y31" i="2"/>
  <c r="X31" i="2"/>
  <c r="W31" i="2"/>
  <c r="V31" i="2"/>
  <c r="T31" i="2"/>
  <c r="S31" i="2"/>
  <c r="R31" i="2"/>
  <c r="Q31" i="2"/>
  <c r="Y30" i="2"/>
  <c r="X30" i="2"/>
  <c r="W30" i="2"/>
  <c r="V30" i="2"/>
  <c r="T30" i="2"/>
  <c r="S30" i="2"/>
  <c r="R30" i="2"/>
  <c r="Q30" i="2"/>
  <c r="Y29" i="2"/>
  <c r="X29" i="2"/>
  <c r="W29" i="2"/>
  <c r="V29" i="2"/>
  <c r="T29" i="2"/>
  <c r="S29" i="2"/>
  <c r="R29" i="2"/>
  <c r="Q29" i="2"/>
  <c r="Y28" i="2"/>
  <c r="X28" i="2"/>
  <c r="W28" i="2"/>
  <c r="V28" i="2"/>
  <c r="T28" i="2"/>
  <c r="S28" i="2"/>
  <c r="R28" i="2"/>
  <c r="Q28" i="2"/>
  <c r="O28" i="2"/>
  <c r="N28" i="2"/>
  <c r="M28" i="2"/>
  <c r="L28" i="2"/>
  <c r="K28" i="2"/>
  <c r="J28" i="2"/>
  <c r="I28" i="2"/>
  <c r="B24" i="2"/>
  <c r="B23" i="2"/>
  <c r="B22" i="2"/>
  <c r="B21" i="2"/>
  <c r="B20" i="2"/>
  <c r="B19" i="2"/>
  <c r="B18" i="2"/>
  <c r="B17" i="2"/>
  <c r="B16" i="2"/>
  <c r="B15" i="2"/>
  <c r="B14" i="2"/>
  <c r="B13" i="2"/>
  <c r="B7" i="2"/>
  <c r="H4" i="2"/>
  <c r="F4" i="2"/>
  <c r="E4" i="2"/>
  <c r="H3" i="2"/>
  <c r="F3" i="2"/>
  <c r="E3" i="2"/>
  <c r="Y40" i="1"/>
  <c r="X40" i="1"/>
  <c r="W40" i="1"/>
  <c r="V40" i="1"/>
  <c r="T40" i="1"/>
  <c r="S40" i="1"/>
  <c r="R40" i="1"/>
  <c r="Q40" i="1"/>
  <c r="Y39" i="1"/>
  <c r="X39" i="1"/>
  <c r="W39" i="1"/>
  <c r="V39" i="1"/>
  <c r="T39" i="1"/>
  <c r="S39" i="1"/>
  <c r="R39" i="1"/>
  <c r="Q39" i="1"/>
  <c r="Y38" i="1"/>
  <c r="X38" i="1"/>
  <c r="W38" i="1"/>
  <c r="V38" i="1"/>
  <c r="T38" i="1"/>
  <c r="S38" i="1"/>
  <c r="R38" i="1"/>
  <c r="Q38" i="1"/>
  <c r="Y37" i="1"/>
  <c r="X37" i="1"/>
  <c r="W37" i="1"/>
  <c r="V37" i="1"/>
  <c r="T37" i="1"/>
  <c r="S37" i="1"/>
  <c r="R37" i="1"/>
  <c r="Q37" i="1"/>
  <c r="Y36" i="1"/>
  <c r="X36" i="1"/>
  <c r="W36" i="1"/>
  <c r="V36" i="1"/>
  <c r="T36" i="1"/>
  <c r="S36" i="1"/>
  <c r="R36" i="1"/>
  <c r="Q36" i="1"/>
  <c r="Y35" i="1"/>
  <c r="X35" i="1"/>
  <c r="W35" i="1"/>
  <c r="V35" i="1"/>
  <c r="T35" i="1"/>
  <c r="S35" i="1"/>
  <c r="R35" i="1"/>
  <c r="Q35" i="1"/>
  <c r="Y34" i="1"/>
  <c r="X34" i="1"/>
  <c r="W34" i="1"/>
  <c r="V34" i="1"/>
  <c r="T34" i="1"/>
  <c r="S34" i="1"/>
  <c r="R34" i="1"/>
  <c r="Q34" i="1"/>
  <c r="Y33" i="1"/>
  <c r="X33" i="1"/>
  <c r="W33" i="1"/>
  <c r="V33" i="1"/>
  <c r="T33" i="1"/>
  <c r="S33" i="1"/>
  <c r="R33" i="1"/>
  <c r="Q33" i="1"/>
  <c r="Y32" i="1"/>
  <c r="X32" i="1"/>
  <c r="W32" i="1"/>
  <c r="V32" i="1"/>
  <c r="T32" i="1"/>
  <c r="S32" i="1"/>
  <c r="R32" i="1"/>
  <c r="Q32" i="1"/>
  <c r="Y31" i="1"/>
  <c r="X31" i="1"/>
  <c r="W31" i="1"/>
  <c r="V31" i="1"/>
  <c r="T31" i="1"/>
  <c r="S31" i="1"/>
  <c r="R31" i="1"/>
  <c r="Q31" i="1"/>
  <c r="Y30" i="1"/>
  <c r="X30" i="1"/>
  <c r="W30" i="1"/>
  <c r="V30" i="1"/>
  <c r="T30" i="1"/>
  <c r="S30" i="1"/>
  <c r="R30" i="1"/>
  <c r="Q30" i="1"/>
  <c r="Y29" i="1"/>
  <c r="X29" i="1"/>
  <c r="W29" i="1"/>
  <c r="V29" i="1"/>
  <c r="T29" i="1"/>
  <c r="S29" i="1"/>
  <c r="R29" i="1"/>
  <c r="Q29" i="1"/>
  <c r="Y28" i="1"/>
  <c r="X28" i="1"/>
  <c r="W28" i="1"/>
  <c r="V28" i="1"/>
  <c r="T28" i="1"/>
  <c r="S28" i="1"/>
  <c r="R28" i="1"/>
  <c r="Q28" i="1"/>
  <c r="O28" i="1"/>
  <c r="N28" i="1"/>
  <c r="M28" i="1"/>
  <c r="L28" i="1"/>
  <c r="K28" i="1"/>
  <c r="J28" i="1"/>
  <c r="I28" i="1"/>
  <c r="B24" i="1"/>
  <c r="B23" i="1"/>
  <c r="B22" i="1"/>
  <c r="B21" i="1"/>
  <c r="B19" i="1"/>
  <c r="B18" i="1"/>
  <c r="B17" i="1"/>
  <c r="B16" i="1"/>
  <c r="B15" i="1"/>
  <c r="B14" i="1"/>
  <c r="B13" i="1"/>
  <c r="B7" i="1"/>
  <c r="H4" i="1"/>
  <c r="F4" i="1"/>
  <c r="E4" i="1"/>
  <c r="H3" i="1"/>
  <c r="F3" i="1"/>
  <c r="E3" i="1"/>
  <c r="Y40" i="9"/>
  <c r="X40" i="9"/>
  <c r="W40" i="9"/>
  <c r="V40" i="9"/>
  <c r="T40" i="9"/>
  <c r="S40" i="9"/>
  <c r="R40" i="9"/>
  <c r="Q40" i="9"/>
  <c r="Y39" i="9"/>
  <c r="X39" i="9"/>
  <c r="W39" i="9"/>
  <c r="V39" i="9"/>
  <c r="T39" i="9"/>
  <c r="S39" i="9"/>
  <c r="R39" i="9"/>
  <c r="Q39" i="9"/>
  <c r="Y38" i="9"/>
  <c r="X38" i="9"/>
  <c r="W38" i="9"/>
  <c r="V38" i="9"/>
  <c r="T38" i="9"/>
  <c r="S38" i="9"/>
  <c r="R38" i="9"/>
  <c r="Q38" i="9"/>
  <c r="Y37" i="9"/>
  <c r="X37" i="9"/>
  <c r="W37" i="9"/>
  <c r="V37" i="9"/>
  <c r="T37" i="9"/>
  <c r="S37" i="9"/>
  <c r="R37" i="9"/>
  <c r="Q37" i="9"/>
  <c r="Y36" i="9"/>
  <c r="X36" i="9"/>
  <c r="W36" i="9"/>
  <c r="V36" i="9"/>
  <c r="T36" i="9"/>
  <c r="S36" i="9"/>
  <c r="R36" i="9"/>
  <c r="Q36" i="9"/>
  <c r="Y35" i="9"/>
  <c r="X35" i="9"/>
  <c r="W35" i="9"/>
  <c r="V35" i="9"/>
  <c r="T35" i="9"/>
  <c r="S35" i="9"/>
  <c r="R35" i="9"/>
  <c r="Q35" i="9"/>
  <c r="Y34" i="9"/>
  <c r="X34" i="9"/>
  <c r="W34" i="9"/>
  <c r="V34" i="9"/>
  <c r="T34" i="9"/>
  <c r="S34" i="9"/>
  <c r="R34" i="9"/>
  <c r="Q34" i="9"/>
  <c r="Y33" i="9"/>
  <c r="X33" i="9"/>
  <c r="W33" i="9"/>
  <c r="V33" i="9"/>
  <c r="T33" i="9"/>
  <c r="S33" i="9"/>
  <c r="R33" i="9"/>
  <c r="Q33" i="9"/>
  <c r="Y32" i="9"/>
  <c r="X32" i="9"/>
  <c r="W32" i="9"/>
  <c r="V32" i="9"/>
  <c r="T32" i="9"/>
  <c r="S32" i="9"/>
  <c r="R32" i="9"/>
  <c r="Q32" i="9"/>
  <c r="Y31" i="9"/>
  <c r="X31" i="9"/>
  <c r="W31" i="9"/>
  <c r="V31" i="9"/>
  <c r="T31" i="9"/>
  <c r="S31" i="9"/>
  <c r="R31" i="9"/>
  <c r="Q31" i="9"/>
  <c r="Y30" i="9"/>
  <c r="X30" i="9"/>
  <c r="W30" i="9"/>
  <c r="V30" i="9"/>
  <c r="T30" i="9"/>
  <c r="S30" i="9"/>
  <c r="R30" i="9"/>
  <c r="Q30" i="9"/>
  <c r="Y29" i="9"/>
  <c r="X29" i="9"/>
  <c r="W29" i="9"/>
  <c r="V29" i="9"/>
  <c r="T29" i="9"/>
  <c r="S29" i="9"/>
  <c r="R29" i="9"/>
  <c r="Q29" i="9"/>
  <c r="Y28" i="9"/>
  <c r="X28" i="9"/>
  <c r="W28" i="9"/>
  <c r="V28" i="9"/>
  <c r="T28" i="9"/>
  <c r="S28" i="9"/>
  <c r="R28" i="9"/>
  <c r="Q28" i="9"/>
  <c r="O28" i="9"/>
  <c r="N28" i="9"/>
  <c r="M28" i="9"/>
  <c r="L28" i="9"/>
  <c r="K28" i="9"/>
  <c r="J28" i="9"/>
  <c r="I28" i="9"/>
  <c r="B24" i="9"/>
  <c r="B23" i="9"/>
  <c r="B22" i="9"/>
  <c r="B21" i="9"/>
  <c r="B20" i="9"/>
  <c r="B19" i="9"/>
  <c r="B18" i="9"/>
  <c r="B17" i="9"/>
  <c r="B16" i="9"/>
  <c r="B15" i="9"/>
  <c r="B14" i="9"/>
  <c r="B13" i="9"/>
  <c r="B7" i="9"/>
  <c r="H4" i="9"/>
  <c r="F4" i="9"/>
  <c r="E4" i="9"/>
  <c r="H3" i="9"/>
  <c r="F3" i="9"/>
  <c r="E3" i="9"/>
  <c r="Y40" i="7"/>
  <c r="X40" i="7"/>
  <c r="W40" i="7"/>
  <c r="V40" i="7"/>
  <c r="T40" i="7"/>
  <c r="S40" i="7"/>
  <c r="R40" i="7"/>
  <c r="Q40" i="7"/>
  <c r="Y39" i="7"/>
  <c r="X39" i="7"/>
  <c r="W39" i="7"/>
  <c r="V39" i="7"/>
  <c r="T39" i="7"/>
  <c r="S39" i="7"/>
  <c r="R39" i="7"/>
  <c r="Q39" i="7"/>
  <c r="Y38" i="7"/>
  <c r="X38" i="7"/>
  <c r="W38" i="7"/>
  <c r="V38" i="7"/>
  <c r="T38" i="7"/>
  <c r="S38" i="7"/>
  <c r="R38" i="7"/>
  <c r="Q38" i="7"/>
  <c r="Y37" i="7"/>
  <c r="X37" i="7"/>
  <c r="W37" i="7"/>
  <c r="V37" i="7"/>
  <c r="T37" i="7"/>
  <c r="S37" i="7"/>
  <c r="R37" i="7"/>
  <c r="Q37" i="7"/>
  <c r="Y36" i="7"/>
  <c r="X36" i="7"/>
  <c r="W36" i="7"/>
  <c r="V36" i="7"/>
  <c r="T36" i="7"/>
  <c r="S36" i="7"/>
  <c r="R36" i="7"/>
  <c r="Q36" i="7"/>
  <c r="Y35" i="7"/>
  <c r="X35" i="7"/>
  <c r="W35" i="7"/>
  <c r="V35" i="7"/>
  <c r="T35" i="7"/>
  <c r="S35" i="7"/>
  <c r="R35" i="7"/>
  <c r="Q35" i="7"/>
  <c r="Y34" i="7"/>
  <c r="X34" i="7"/>
  <c r="W34" i="7"/>
  <c r="V34" i="7"/>
  <c r="T34" i="7"/>
  <c r="S34" i="7"/>
  <c r="R34" i="7"/>
  <c r="Q34" i="7"/>
  <c r="Y33" i="7"/>
  <c r="X33" i="7"/>
  <c r="W33" i="7"/>
  <c r="V33" i="7"/>
  <c r="T33" i="7"/>
  <c r="S33" i="7"/>
  <c r="R33" i="7"/>
  <c r="Q33" i="7"/>
  <c r="Y32" i="7"/>
  <c r="X32" i="7"/>
  <c r="W32" i="7"/>
  <c r="V32" i="7"/>
  <c r="T32" i="7"/>
  <c r="S32" i="7"/>
  <c r="R32" i="7"/>
  <c r="Q32" i="7"/>
  <c r="Y31" i="7"/>
  <c r="X31" i="7"/>
  <c r="W31" i="7"/>
  <c r="V31" i="7"/>
  <c r="T31" i="7"/>
  <c r="S31" i="7"/>
  <c r="R31" i="7"/>
  <c r="Q31" i="7"/>
  <c r="Y30" i="7"/>
  <c r="X30" i="7"/>
  <c r="W30" i="7"/>
  <c r="V30" i="7"/>
  <c r="T30" i="7"/>
  <c r="S30" i="7"/>
  <c r="R30" i="7"/>
  <c r="Q30" i="7"/>
  <c r="Y29" i="7"/>
  <c r="X29" i="7"/>
  <c r="W29" i="7"/>
  <c r="V29" i="7"/>
  <c r="T29" i="7"/>
  <c r="S29" i="7"/>
  <c r="R29" i="7"/>
  <c r="Q29" i="7"/>
  <c r="Y28" i="7"/>
  <c r="X28" i="7"/>
  <c r="W28" i="7"/>
  <c r="V28" i="7"/>
  <c r="T28" i="7"/>
  <c r="S28" i="7"/>
  <c r="R28" i="7"/>
  <c r="Q28" i="7"/>
  <c r="O28" i="7"/>
  <c r="N28" i="7"/>
  <c r="M28" i="7"/>
  <c r="L28" i="7"/>
  <c r="K28" i="7"/>
  <c r="J28" i="7"/>
  <c r="I28" i="7"/>
  <c r="B21" i="7"/>
  <c r="B17" i="7"/>
  <c r="B16" i="7"/>
  <c r="B15" i="7"/>
  <c r="B14" i="7"/>
  <c r="B13" i="7"/>
  <c r="B7" i="7"/>
  <c r="H4" i="7"/>
  <c r="F4" i="7"/>
  <c r="E4" i="7"/>
  <c r="H3" i="7"/>
  <c r="F3" i="7"/>
  <c r="E3" i="7"/>
  <c r="Y40" i="10"/>
  <c r="X40" i="10"/>
  <c r="W40" i="10"/>
  <c r="V40" i="10"/>
  <c r="T40" i="10"/>
  <c r="S40" i="10"/>
  <c r="R40" i="10"/>
  <c r="Q40" i="10"/>
  <c r="Y39" i="10"/>
  <c r="X39" i="10"/>
  <c r="W39" i="10"/>
  <c r="V39" i="10"/>
  <c r="T39" i="10"/>
  <c r="S39" i="10"/>
  <c r="R39" i="10"/>
  <c r="Q39" i="10"/>
  <c r="Y38" i="10"/>
  <c r="X38" i="10"/>
  <c r="W38" i="10"/>
  <c r="V38" i="10"/>
  <c r="T38" i="10"/>
  <c r="S38" i="10"/>
  <c r="R38" i="10"/>
  <c r="Q38" i="10"/>
  <c r="Y37" i="10"/>
  <c r="X37" i="10"/>
  <c r="W37" i="10"/>
  <c r="V37" i="10"/>
  <c r="T37" i="10"/>
  <c r="S37" i="10"/>
  <c r="R37" i="10"/>
  <c r="Q37" i="10"/>
  <c r="Y36" i="10"/>
  <c r="X36" i="10"/>
  <c r="W36" i="10"/>
  <c r="V36" i="10"/>
  <c r="T36" i="10"/>
  <c r="S36" i="10"/>
  <c r="R36" i="10"/>
  <c r="Q36" i="10"/>
  <c r="Y35" i="10"/>
  <c r="X35" i="10"/>
  <c r="W35" i="10"/>
  <c r="V35" i="10"/>
  <c r="T35" i="10"/>
  <c r="S35" i="10"/>
  <c r="R35" i="10"/>
  <c r="Q35" i="10"/>
  <c r="Y34" i="10"/>
  <c r="X34" i="10"/>
  <c r="W34" i="10"/>
  <c r="V34" i="10"/>
  <c r="T34" i="10"/>
  <c r="S34" i="10"/>
  <c r="R34" i="10"/>
  <c r="Q34" i="10"/>
  <c r="Y33" i="10"/>
  <c r="X33" i="10"/>
  <c r="W33" i="10"/>
  <c r="V33" i="10"/>
  <c r="T33" i="10"/>
  <c r="S33" i="10"/>
  <c r="R33" i="10"/>
  <c r="Q33" i="10"/>
  <c r="Y32" i="10"/>
  <c r="X32" i="10"/>
  <c r="W32" i="10"/>
  <c r="V32" i="10"/>
  <c r="T32" i="10"/>
  <c r="S32" i="10"/>
  <c r="R32" i="10"/>
  <c r="Q32" i="10"/>
  <c r="Y31" i="10"/>
  <c r="X31" i="10"/>
  <c r="W31" i="10"/>
  <c r="V31" i="10"/>
  <c r="T31" i="10"/>
  <c r="S31" i="10"/>
  <c r="R31" i="10"/>
  <c r="Q31" i="10"/>
  <c r="Y30" i="10"/>
  <c r="X30" i="10"/>
  <c r="W30" i="10"/>
  <c r="V30" i="10"/>
  <c r="T30" i="10"/>
  <c r="S30" i="10"/>
  <c r="R30" i="10"/>
  <c r="Q30" i="10"/>
  <c r="Y29" i="10"/>
  <c r="X29" i="10"/>
  <c r="W29" i="10"/>
  <c r="V29" i="10"/>
  <c r="T29" i="10"/>
  <c r="S29" i="10"/>
  <c r="R29" i="10"/>
  <c r="Q29" i="10"/>
  <c r="Y28" i="10"/>
  <c r="X28" i="10"/>
  <c r="W28" i="10"/>
  <c r="V28" i="10"/>
  <c r="T28" i="10"/>
  <c r="S28" i="10"/>
  <c r="R28" i="10"/>
  <c r="Q28" i="10"/>
  <c r="O28" i="10"/>
  <c r="N28" i="10"/>
  <c r="M28" i="10"/>
  <c r="L28" i="10"/>
  <c r="K28" i="10"/>
  <c r="J28" i="10"/>
  <c r="I28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7" i="10"/>
  <c r="H4" i="10"/>
  <c r="F4" i="10"/>
  <c r="E4" i="10"/>
  <c r="H3" i="10"/>
  <c r="F3" i="10"/>
  <c r="E3" i="10"/>
</calcChain>
</file>

<file path=xl/sharedStrings.xml><?xml version="1.0" encoding="utf-8"?>
<sst xmlns="http://schemas.openxmlformats.org/spreadsheetml/2006/main" count="1268" uniqueCount="67">
  <si>
    <t>Assessment Number : 1454
JONNALAGADDA VENU S/o SAMBASIVARAO</t>
  </si>
  <si>
    <t>LENGTH (Mts)</t>
  </si>
  <si>
    <t>BREADTH (Mts)</t>
  </si>
  <si>
    <t>Sq. Mts</t>
  </si>
  <si>
    <t>Sq. Yard</t>
  </si>
  <si>
    <t>RATES</t>
  </si>
  <si>
    <t>TOTAL</t>
  </si>
  <si>
    <t>PLOT AREA</t>
  </si>
  <si>
    <t>PLINTH AREA</t>
  </si>
  <si>
    <t>(G+2)</t>
  </si>
  <si>
    <t>Sq. Ft</t>
  </si>
  <si>
    <t>PLOT AREA RATE</t>
  </si>
  <si>
    <t>CURRENT</t>
  </si>
  <si>
    <t>PLINTH AREA RATE</t>
  </si>
  <si>
    <t>STEPS</t>
  </si>
  <si>
    <t>HOUSE TAX VALUATION</t>
  </si>
  <si>
    <t>0.10 PAISE</t>
  </si>
  <si>
    <t>COMPOUND</t>
  </si>
  <si>
    <t>TOILET</t>
  </si>
  <si>
    <t>FLOORING</t>
  </si>
  <si>
    <t>BALANCE</t>
  </si>
  <si>
    <t>HOUSE TAX</t>
  </si>
  <si>
    <t>LIBRARY CESS</t>
  </si>
  <si>
    <t>SPORTS CESS</t>
  </si>
  <si>
    <t>WATER CESS</t>
  </si>
  <si>
    <t>LIGHTING CESS</t>
  </si>
  <si>
    <t>FIRE TAX</t>
  </si>
  <si>
    <t>S.NO</t>
  </si>
  <si>
    <t>NAME</t>
  </si>
  <si>
    <t>PLOT1</t>
  </si>
  <si>
    <t>PLOT2</t>
  </si>
  <si>
    <t>PLINTH1</t>
  </si>
  <si>
    <t>PLINTH 2</t>
  </si>
  <si>
    <t>VOKA VENKATESWARARAO S/o LAKSHMI NARAYANA</t>
  </si>
  <si>
    <t>AALLA SRINIVASARAO S/o VENKATESWARARAO</t>
  </si>
  <si>
    <t>CHINTHAKAYALA VIJAYARANI W/o SRINIVASARAO</t>
  </si>
  <si>
    <t>KUSUNURI THIRAPATHAMMA W/o POORNA CHANDRA RAO</t>
  </si>
  <si>
    <t>EEGA SRINIVASARAO S/o MURAHARIRAO</t>
  </si>
  <si>
    <t>KANTU RAMANA W/o VENKATARAO</t>
  </si>
  <si>
    <t>VELIVOLU NEELIMA W/o SRIDHAR</t>
  </si>
  <si>
    <t>VEMPARALA CHAKRAVARTHI S/o EESWARARAO</t>
  </si>
  <si>
    <t>VATTIKONDA PRAMEELARANI W/o ASHOK KUMAR</t>
  </si>
  <si>
    <t>SADHANALA LAKSHMI W/o VENKATESWARARAO</t>
  </si>
  <si>
    <t>PINNIBOYINA SAMBAIAH S/o</t>
  </si>
  <si>
    <t>KONKA RAMADEVI W/o CHINNABBAIAH</t>
  </si>
  <si>
    <t>MANDA KALYAN KUMAR S/o SRINIVASARAO</t>
  </si>
  <si>
    <t>Assessment Number : 1446
MANDA KALYAN KUMAR S/o SRINIVASARAO</t>
  </si>
  <si>
    <t xml:space="preserve">Assessment Number : 1447
TIMMASARTHI HARISH S/o RAMESH BABU
</t>
  </si>
  <si>
    <t>Assessment Number : 1448
GARIKAPATI VENKATA SIVA NAGESWARARAO S/o VARAPRASADARAO</t>
  </si>
  <si>
    <t>Assessment Number : 1449
SADHANALA LAKSHMI W/o VENKATESWARARAO</t>
  </si>
  <si>
    <t>Assessment Number : 1450
DHANEKULA POOJITHA M/o SUJATHA</t>
  </si>
  <si>
    <t>Assessment Number : 1451
GANJI NARASIMHARAO S/o VENKATA SUBBAIAH</t>
  </si>
  <si>
    <t>Assessment Number : 1453
ALLA SURI BABU S/o ALLA RAMULU</t>
  </si>
  <si>
    <t>(G+1)</t>
  </si>
  <si>
    <t>Assessment Number : 1455
VEMPARALA HARSHAVARDHAN S/o CHAKRAVARTHI</t>
  </si>
  <si>
    <t>Assessment Number : 1456
POTHANABOYINA HARATHI W/o SRINIVASARAO</t>
  </si>
  <si>
    <t>Assessment Number : 1457A
GORIJALA SESHU S/o VEERAIAH</t>
  </si>
  <si>
    <t>Assessment Number : 1458
KOMATI NAGARAJU S/o VENKATESWARARAO</t>
  </si>
  <si>
    <t>Assessment Number : 1459
ECHAPURAM VENKATESWARAMMA S/o MADHAVA RAO</t>
  </si>
  <si>
    <t>Assessment Number : 1460
ABBURI KIRAN KUMAR PRASAD S/o PITCHESWARARAO</t>
  </si>
  <si>
    <t>Assessment Number : 1461
PONNA RAMANA W/o KONDALARAO</t>
  </si>
  <si>
    <t>Assessment Number : 1462
MELAM NIRMALA S/o VENKATESWARARAO</t>
  </si>
  <si>
    <t>Assessment Number : 1463
AMARLAPUDI ACCHAYAMMA S/o JAYARAJU</t>
  </si>
  <si>
    <t xml:space="preserve">Assessment Number : 1464
 KONKA SARITHA W/o SRINIVASARAO </t>
  </si>
  <si>
    <t>Assessment Number : 1465
JAASTI SREENIVASARAO S/o UPENDRARAO</t>
  </si>
  <si>
    <t>Assessment Number : 1466
ABBURI KIRAN KUMAR PRASAD  S/o UPENDRA   PH NO 7396645848</t>
  </si>
  <si>
    <t>Assessment Number : 1452
GANJI VEERA BHADRARAO S/o NARASIMHAR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</si>
</sst>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workbookViewId="0">
      <selection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0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19.72</v>
      </c>
      <c r="C3" s="2"/>
      <c r="D3" s="16">
        <v>6.22</v>
      </c>
      <c r="E3" s="16">
        <f>B3*D3</f>
        <v>122.6584</v>
      </c>
      <c r="F3" s="16">
        <f>E3*1.196</f>
        <v>146.6994464</v>
      </c>
      <c r="G3" s="16">
        <v>3200</v>
      </c>
      <c r="H3" s="16">
        <f>F3*G3</f>
        <v>469438.22847999999</v>
      </c>
    </row>
    <row r="4" spans="1:24">
      <c r="A4" s="16" t="s">
        <v>8</v>
      </c>
      <c r="B4" s="2">
        <v>10.72</v>
      </c>
      <c r="C4" s="2"/>
      <c r="D4" s="16">
        <v>6.22</v>
      </c>
      <c r="E4" s="16">
        <f>B4*D4</f>
        <v>66.678399999999996</v>
      </c>
      <c r="F4" s="16">
        <f>E4*10.7639</f>
        <v>717.71962975999998</v>
      </c>
      <c r="G4" s="16">
        <v>1500</v>
      </c>
      <c r="H4" s="16">
        <f>F4*G4</f>
        <v>1076579.4446399999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1076579.4446399999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1094579.4446399999</v>
      </c>
    </row>
    <row r="14" spans="1:24">
      <c r="A14" s="19">
        <v>-0.1</v>
      </c>
      <c r="B14" s="2">
        <f>B13*10/100</f>
        <v>109457.944464</v>
      </c>
      <c r="G14" s="20"/>
    </row>
    <row r="15" spans="1:24">
      <c r="A15" s="16" t="s">
        <v>20</v>
      </c>
      <c r="B15" s="2">
        <f>B13-B14</f>
        <v>985121.50017599994</v>
      </c>
    </row>
    <row r="16" spans="1:24">
      <c r="A16" s="16" t="s">
        <v>7</v>
      </c>
      <c r="B16" s="2">
        <f>F3*G3</f>
        <v>469438.22847999999</v>
      </c>
    </row>
    <row r="17" spans="1:25">
      <c r="A17" s="16" t="s">
        <v>6</v>
      </c>
      <c r="B17" s="2">
        <f>SUM(B15:B16)</f>
        <v>1454559.728656</v>
      </c>
    </row>
    <row r="18" spans="1:25" ht="18">
      <c r="A18" s="16" t="s">
        <v>21</v>
      </c>
      <c r="B18" s="7">
        <f>B17/1000</f>
        <v>1454.5597286560001</v>
      </c>
    </row>
    <row r="19" spans="1:25" ht="18">
      <c r="A19" s="16" t="s">
        <v>22</v>
      </c>
      <c r="B19" s="7">
        <f>B18*8/100</f>
        <v>116.36477829248</v>
      </c>
    </row>
    <row r="20" spans="1:25" ht="18">
      <c r="A20" s="16" t="s">
        <v>23</v>
      </c>
      <c r="B20" s="7">
        <f>B18*3/100</f>
        <v>43.636791859680002</v>
      </c>
    </row>
    <row r="21" spans="1:25" ht="18">
      <c r="A21" s="16" t="s">
        <v>24</v>
      </c>
      <c r="B21" s="7">
        <f>B18*20/100</f>
        <v>290.91194573119998</v>
      </c>
    </row>
    <row r="22" spans="1:25" ht="18">
      <c r="A22" s="16" t="s">
        <v>25</v>
      </c>
      <c r="B22" s="7">
        <f>B18*5/100</f>
        <v>72.727986432799995</v>
      </c>
    </row>
    <row r="23" spans="1:25" ht="18">
      <c r="A23" s="16" t="s">
        <v>26</v>
      </c>
      <c r="B23" s="7">
        <f>B18*1/100</f>
        <v>14.54559728656</v>
      </c>
    </row>
    <row r="24" spans="1:25" ht="18">
      <c r="A24" s="16" t="s">
        <v>6</v>
      </c>
      <c r="B24" s="7">
        <f>SUM(B18:B23)</f>
        <v>1992.7468282587199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topLeftCell="A19" workbookViewId="0">
      <selection activeCell="B24" sqref="B24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51.75" customHeight="1">
      <c r="A1" s="23" t="s">
        <v>46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7.5</v>
      </c>
      <c r="C3" s="2"/>
      <c r="D3" s="16">
        <v>6.5</v>
      </c>
      <c r="E3" s="16">
        <f>B3*D3</f>
        <v>48.75</v>
      </c>
      <c r="F3" s="16">
        <f>E3*1.196</f>
        <v>58.305</v>
      </c>
      <c r="G3" s="16">
        <v>3200</v>
      </c>
      <c r="H3" s="16">
        <f>F3*G3</f>
        <v>186576</v>
      </c>
    </row>
    <row r="4" spans="1:24">
      <c r="A4" s="16" t="s">
        <v>8</v>
      </c>
      <c r="B4" s="2">
        <v>6</v>
      </c>
      <c r="C4" s="2"/>
      <c r="D4" s="16">
        <v>5.2</v>
      </c>
      <c r="E4" s="16">
        <f>B4*D4</f>
        <v>31.2</v>
      </c>
      <c r="F4" s="16">
        <f>E4*10.7639</f>
        <v>335.83368000000002</v>
      </c>
      <c r="G4" s="16">
        <v>1500</v>
      </c>
      <c r="H4" s="16">
        <f>F4*G4</f>
        <v>503750.52</v>
      </c>
    </row>
    <row r="5" spans="1:24">
      <c r="F5" s="3" t="s">
        <v>10</v>
      </c>
    </row>
    <row r="7" spans="1:24">
      <c r="A7" s="16" t="s">
        <v>8</v>
      </c>
      <c r="B7" s="2">
        <f>H4</f>
        <v>503750.52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521750.52</v>
      </c>
    </row>
    <row r="14" spans="1:24">
      <c r="A14" s="19">
        <v>-0.1</v>
      </c>
      <c r="B14" s="2">
        <f>B13*10/100</f>
        <v>52175.052000000003</v>
      </c>
      <c r="G14" s="20"/>
    </row>
    <row r="15" spans="1:24">
      <c r="A15" s="16" t="s">
        <v>20</v>
      </c>
      <c r="B15" s="2">
        <f>B13-B14</f>
        <v>469575.46799999999</v>
      </c>
    </row>
    <row r="16" spans="1:24">
      <c r="A16" s="16" t="s">
        <v>7</v>
      </c>
      <c r="B16" s="2">
        <f>F3*G3</f>
        <v>186576</v>
      </c>
    </row>
    <row r="17" spans="1:25">
      <c r="A17" s="16" t="s">
        <v>6</v>
      </c>
      <c r="B17" s="2">
        <f>SUM(B15:B16)</f>
        <v>656151.46799999999</v>
      </c>
    </row>
    <row r="18" spans="1:25" ht="18">
      <c r="A18" s="16" t="s">
        <v>21</v>
      </c>
      <c r="B18" s="7">
        <v>10</v>
      </c>
    </row>
    <row r="19" spans="1:25" ht="18">
      <c r="A19" s="16" t="s">
        <v>22</v>
      </c>
      <c r="B19" s="7">
        <f>B18*8/100</f>
        <v>0.8</v>
      </c>
    </row>
    <row r="20" spans="1:25" ht="18">
      <c r="A20" s="16" t="s">
        <v>23</v>
      </c>
      <c r="B20" s="7">
        <f>B18*3/100</f>
        <v>0.3</v>
      </c>
    </row>
    <row r="21" spans="1:25" ht="18">
      <c r="A21" s="16" t="s">
        <v>24</v>
      </c>
      <c r="B21" s="7">
        <f>B18*20/100</f>
        <v>2</v>
      </c>
    </row>
    <row r="22" spans="1:25" ht="18">
      <c r="A22" s="16" t="s">
        <v>25</v>
      </c>
      <c r="B22" s="7">
        <f>B18*5/100</f>
        <v>0.5</v>
      </c>
    </row>
    <row r="23" spans="1:25" ht="18">
      <c r="A23" s="16" t="s">
        <v>26</v>
      </c>
      <c r="B23" s="7">
        <v>1100</v>
      </c>
    </row>
    <row r="24" spans="1:25" ht="18">
      <c r="A24" s="16" t="s">
        <v>6</v>
      </c>
      <c r="B24" s="7">
        <f>SUM(B18:B23)</f>
        <v>1113.5999999999999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56.25" customHeight="1">
      <c r="A1" s="23" t="s">
        <v>47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13.28</v>
      </c>
      <c r="C3" s="2"/>
      <c r="D3" s="16">
        <v>14.45</v>
      </c>
      <c r="E3" s="16">
        <f>B3*D3</f>
        <v>191.89599999999999</v>
      </c>
      <c r="F3" s="16">
        <f>E3*1.196</f>
        <v>229.50761600000001</v>
      </c>
      <c r="G3" s="16">
        <v>3200</v>
      </c>
      <c r="H3" s="16">
        <f>F3*G3</f>
        <v>734424.37120000005</v>
      </c>
    </row>
    <row r="4" spans="1:24">
      <c r="A4" s="16" t="s">
        <v>8</v>
      </c>
      <c r="B4" s="2">
        <v>11.35</v>
      </c>
      <c r="C4" s="2"/>
      <c r="D4" s="16">
        <v>9.98</v>
      </c>
      <c r="E4" s="16">
        <f>B4*D4</f>
        <v>113.273</v>
      </c>
      <c r="F4" s="16">
        <f>E4*10.7639</f>
        <v>1219.2592447</v>
      </c>
      <c r="G4" s="16">
        <v>1500</v>
      </c>
      <c r="H4" s="16">
        <f>F4*G4</f>
        <v>1828888.86705</v>
      </c>
    </row>
    <row r="5" spans="1:24">
      <c r="F5" s="3" t="s">
        <v>10</v>
      </c>
    </row>
    <row r="7" spans="1:24">
      <c r="A7" s="16" t="s">
        <v>8</v>
      </c>
      <c r="B7" s="2">
        <f>H4</f>
        <v>1828888.86705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1846888.86705</v>
      </c>
    </row>
    <row r="14" spans="1:24">
      <c r="A14" s="19">
        <v>-0.1</v>
      </c>
      <c r="B14" s="2">
        <f>B13*10/100</f>
        <v>184688.88670500001</v>
      </c>
      <c r="G14" s="20"/>
    </row>
    <row r="15" spans="1:24">
      <c r="A15" s="16" t="s">
        <v>20</v>
      </c>
      <c r="B15" s="2">
        <f>B13-B14</f>
        <v>1662199.980345</v>
      </c>
    </row>
    <row r="16" spans="1:24">
      <c r="A16" s="16" t="s">
        <v>7</v>
      </c>
      <c r="B16" s="2">
        <f>F3*G3</f>
        <v>734424.37120000005</v>
      </c>
    </row>
    <row r="17" spans="1:25">
      <c r="A17" s="16" t="s">
        <v>6</v>
      </c>
      <c r="B17" s="2">
        <f>SUM(B15:B16)</f>
        <v>2396624.351545</v>
      </c>
    </row>
    <row r="18" spans="1:25" ht="18">
      <c r="A18" s="16" t="s">
        <v>21</v>
      </c>
      <c r="B18" s="7">
        <f>B17/1000</f>
        <v>2396.6243515450001</v>
      </c>
    </row>
    <row r="19" spans="1:25" ht="18">
      <c r="A19" s="16" t="s">
        <v>22</v>
      </c>
      <c r="B19" s="7">
        <f>B18*8/100</f>
        <v>191.7299481236</v>
      </c>
    </row>
    <row r="20" spans="1:25" ht="18">
      <c r="A20" s="16" t="s">
        <v>23</v>
      </c>
      <c r="B20" s="7">
        <f>B18*3/100</f>
        <v>71.898730546349995</v>
      </c>
    </row>
    <row r="21" spans="1:25" ht="18">
      <c r="A21" s="16" t="s">
        <v>24</v>
      </c>
      <c r="B21" s="7">
        <f>B18*20/100</f>
        <v>479.324870309</v>
      </c>
    </row>
    <row r="22" spans="1:25" ht="18">
      <c r="A22" s="16" t="s">
        <v>25</v>
      </c>
      <c r="B22" s="7">
        <f>B18*5/100</f>
        <v>119.83121757725</v>
      </c>
    </row>
    <row r="23" spans="1:25" ht="18">
      <c r="A23" s="16" t="s">
        <v>26</v>
      </c>
      <c r="B23" s="7">
        <f>B18*1/100</f>
        <v>23.96624351545</v>
      </c>
    </row>
    <row r="24" spans="1:25" ht="18">
      <c r="A24" s="16" t="s">
        <v>6</v>
      </c>
      <c r="B24" s="7">
        <f>SUM(B18:B23)</f>
        <v>3283.37536161665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"/>
  <sheetViews>
    <sheetView tabSelected="1" topLeftCell="A4" workbookViewId="0">
      <selection activeCell="B23" sqref="B23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48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6.45</v>
      </c>
      <c r="C3" s="2"/>
      <c r="D3" s="16">
        <v>5</v>
      </c>
      <c r="E3" s="16">
        <f>B3*D3</f>
        <v>32.25</v>
      </c>
      <c r="F3" s="16">
        <f>E3*1.196</f>
        <v>38.570999999999998</v>
      </c>
      <c r="G3" s="16">
        <v>3200</v>
      </c>
      <c r="H3" s="16">
        <f>F3*G3</f>
        <v>123427.2</v>
      </c>
    </row>
    <row r="4" spans="1:24">
      <c r="A4" s="16" t="s">
        <v>8</v>
      </c>
      <c r="B4" s="2">
        <v>6.45</v>
      </c>
      <c r="C4" s="2"/>
      <c r="D4" s="16">
        <v>5</v>
      </c>
      <c r="E4" s="16">
        <f>B4*D4</f>
        <v>32.25</v>
      </c>
      <c r="F4" s="16">
        <f>E4*10.7639</f>
        <v>347.13577500000002</v>
      </c>
      <c r="G4" s="16">
        <v>1500</v>
      </c>
      <c r="H4" s="16">
        <f>F4*G4</f>
        <v>520703.66249999998</v>
      </c>
    </row>
    <row r="5" spans="1:24">
      <c r="F5" s="3" t="s">
        <v>10</v>
      </c>
    </row>
    <row r="7" spans="1:24">
      <c r="A7" s="16" t="s">
        <v>8</v>
      </c>
      <c r="B7" s="2">
        <f>H4</f>
        <v>520703.66249999998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538703.66249999998</v>
      </c>
    </row>
    <row r="14" spans="1:24">
      <c r="A14" s="19">
        <v>-0.1</v>
      </c>
      <c r="B14" s="2">
        <f>B13*10/100</f>
        <v>53870.366249999999</v>
      </c>
      <c r="G14" s="20"/>
    </row>
    <row r="15" spans="1:24">
      <c r="A15" s="16" t="s">
        <v>20</v>
      </c>
      <c r="B15" s="2">
        <f>B13-B14</f>
        <v>484833.29625000001</v>
      </c>
    </row>
    <row r="16" spans="1:24">
      <c r="A16" s="16" t="s">
        <v>7</v>
      </c>
      <c r="B16" s="2">
        <f>F3*G3</f>
        <v>123427.2</v>
      </c>
    </row>
    <row r="17" spans="1:25">
      <c r="A17" s="16" t="s">
        <v>6</v>
      </c>
      <c r="B17" s="2">
        <f>SUM(B15:B16)</f>
        <v>608260.49624999997</v>
      </c>
    </row>
    <row r="18" spans="1:25" ht="18">
      <c r="A18" s="16" t="s">
        <v>21</v>
      </c>
      <c r="B18" s="7">
        <f>B17/1000</f>
        <v>608.26049624999996</v>
      </c>
    </row>
    <row r="19" spans="1:25" ht="18">
      <c r="A19" s="16" t="s">
        <v>22</v>
      </c>
      <c r="B19" s="7">
        <f>B18*8/100</f>
        <v>48.660839699999997</v>
      </c>
    </row>
    <row r="20" spans="1:25" ht="18">
      <c r="A20" s="16" t="s">
        <v>23</v>
      </c>
      <c r="B20" s="7">
        <v>50</v>
      </c>
    </row>
    <row r="21" spans="1:25" ht="18">
      <c r="A21" s="16" t="s">
        <v>24</v>
      </c>
      <c r="B21" s="7">
        <f>B18*20/100</f>
        <v>121.65209925000001</v>
      </c>
    </row>
    <row r="22" spans="1:25" ht="18">
      <c r="A22" s="16" t="s">
        <v>25</v>
      </c>
      <c r="B22" s="7">
        <f>B18*5/100</f>
        <v>30.413024812500002</v>
      </c>
    </row>
    <row r="23" spans="1:25" ht="18">
      <c r="A23" s="16" t="s">
        <v>26</v>
      </c>
      <c r="B23" s="7">
        <f>B18*1/100</f>
        <v>6.0826049624999996</v>
      </c>
    </row>
    <row r="24" spans="1:25" ht="18">
      <c r="A24" s="16" t="s">
        <v>6</v>
      </c>
      <c r="B24" s="7">
        <f>SUM(B18:B23)</f>
        <v>865.06906497499995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49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6.7</v>
      </c>
      <c r="C3" s="2"/>
      <c r="D3" s="16">
        <v>5.8</v>
      </c>
      <c r="E3" s="16">
        <f>B3*D3</f>
        <v>38.86</v>
      </c>
      <c r="F3" s="16">
        <f>E3*1.196</f>
        <v>46.476559999999999</v>
      </c>
      <c r="G3" s="16">
        <v>3200</v>
      </c>
      <c r="H3" s="16">
        <f>F3*G3</f>
        <v>148724.992</v>
      </c>
    </row>
    <row r="4" spans="1:24">
      <c r="A4" s="16" t="s">
        <v>8</v>
      </c>
      <c r="B4" s="2">
        <v>6.7</v>
      </c>
      <c r="C4" s="2"/>
      <c r="D4" s="16">
        <v>5.8</v>
      </c>
      <c r="E4" s="16">
        <f>B4*D4</f>
        <v>38.86</v>
      </c>
      <c r="F4" s="16">
        <f>E4*10.7639</f>
        <v>418.28515399999998</v>
      </c>
      <c r="G4" s="16">
        <v>1500</v>
      </c>
      <c r="H4" s="16">
        <f>F4*G4</f>
        <v>627427.73100000003</v>
      </c>
    </row>
    <row r="5" spans="1:24">
      <c r="F5" s="3" t="s">
        <v>10</v>
      </c>
    </row>
    <row r="7" spans="1:24">
      <c r="A7" s="16" t="s">
        <v>8</v>
      </c>
      <c r="B7" s="2">
        <f>H4</f>
        <v>627427.73100000003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645427.73100000003</v>
      </c>
    </row>
    <row r="14" spans="1:24">
      <c r="A14" s="19">
        <v>-0.1</v>
      </c>
      <c r="B14" s="2">
        <f>B13*10/100</f>
        <v>64542.773099999999</v>
      </c>
      <c r="G14" s="20"/>
    </row>
    <row r="15" spans="1:24">
      <c r="A15" s="16" t="s">
        <v>20</v>
      </c>
      <c r="B15" s="2">
        <f>B13-B14</f>
        <v>580884.95790000004</v>
      </c>
    </row>
    <row r="16" spans="1:24">
      <c r="A16" s="16" t="s">
        <v>7</v>
      </c>
      <c r="B16" s="2">
        <f>F3*G3</f>
        <v>148724.992</v>
      </c>
    </row>
    <row r="17" spans="1:25">
      <c r="A17" s="16" t="s">
        <v>6</v>
      </c>
      <c r="B17" s="2">
        <f>SUM(B15:B16)</f>
        <v>729609.94990000001</v>
      </c>
    </row>
    <row r="18" spans="1:25" ht="18">
      <c r="A18" s="16" t="s">
        <v>21</v>
      </c>
      <c r="B18" s="7">
        <f>B17/1000</f>
        <v>729.60994989999995</v>
      </c>
    </row>
    <row r="19" spans="1:25" ht="18">
      <c r="A19" s="16" t="s">
        <v>22</v>
      </c>
      <c r="B19" s="7">
        <f>B18*8/100</f>
        <v>58.368795992000003</v>
      </c>
    </row>
    <row r="20" spans="1:25" ht="18">
      <c r="A20" s="16" t="s">
        <v>23</v>
      </c>
      <c r="B20" s="7">
        <f>B18*3/100</f>
        <v>21.888298497000001</v>
      </c>
    </row>
    <row r="21" spans="1:25" ht="18">
      <c r="A21" s="16" t="s">
        <v>24</v>
      </c>
      <c r="B21" s="7">
        <f>B18*20/100</f>
        <v>145.92198998000001</v>
      </c>
    </row>
    <row r="22" spans="1:25" ht="18">
      <c r="A22" s="16" t="s">
        <v>25</v>
      </c>
      <c r="B22" s="7">
        <f>B18*5/100</f>
        <v>36.480497495000002</v>
      </c>
    </row>
    <row r="23" spans="1:25" ht="18">
      <c r="A23" s="16" t="s">
        <v>26</v>
      </c>
      <c r="B23" s="7">
        <f>B18*1/100</f>
        <v>7.2960994990000003</v>
      </c>
    </row>
    <row r="24" spans="1:25" ht="18">
      <c r="A24" s="16" t="s">
        <v>6</v>
      </c>
      <c r="B24" s="7">
        <f>SUM(B18:B23)</f>
        <v>999.56563136299997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1"/>
  <sheetViews>
    <sheetView topLeftCell="A5" workbookViewId="0">
      <selection activeCell="B24" sqref="B24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50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8.99</v>
      </c>
      <c r="C3" s="2"/>
      <c r="D3" s="16">
        <v>10.59</v>
      </c>
      <c r="E3" s="16">
        <f>(B3*D3)</f>
        <v>95.204099999999997</v>
      </c>
      <c r="F3" s="16">
        <f>E3*1.196</f>
        <v>113.86410360000001</v>
      </c>
      <c r="G3" s="16">
        <v>3200</v>
      </c>
      <c r="H3" s="16">
        <f>F3*G3</f>
        <v>364365.13152</v>
      </c>
    </row>
    <row r="4" spans="1:24">
      <c r="A4" s="16" t="s">
        <v>8</v>
      </c>
      <c r="B4" s="2">
        <v>3.7</v>
      </c>
      <c r="C4" s="2"/>
      <c r="D4" s="16">
        <v>5.85</v>
      </c>
      <c r="E4" s="16">
        <f>(B4*D4)</f>
        <v>21.645</v>
      </c>
      <c r="F4" s="16">
        <f>E4*10.7639</f>
        <v>232.98461549999999</v>
      </c>
      <c r="G4" s="16">
        <v>1500</v>
      </c>
      <c r="H4" s="16">
        <f>F4*G4</f>
        <v>349476.92324999999</v>
      </c>
    </row>
    <row r="5" spans="1:24">
      <c r="F5" s="3" t="s">
        <v>10</v>
      </c>
    </row>
    <row r="7" spans="1:24">
      <c r="A7" s="16" t="s">
        <v>8</v>
      </c>
      <c r="B7" s="2">
        <f>H4</f>
        <v>349476.92324999999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367476.92324999999</v>
      </c>
    </row>
    <row r="14" spans="1:24">
      <c r="A14" s="19">
        <v>-0.1</v>
      </c>
      <c r="B14" s="2">
        <f>B13*10/100</f>
        <v>36747.692325000004</v>
      </c>
      <c r="G14" s="20"/>
    </row>
    <row r="15" spans="1:24">
      <c r="A15" s="16" t="s">
        <v>20</v>
      </c>
      <c r="B15" s="2">
        <f>B13-B14</f>
        <v>330729.23092499998</v>
      </c>
    </row>
    <row r="16" spans="1:24">
      <c r="A16" s="16" t="s">
        <v>7</v>
      </c>
      <c r="B16" s="2">
        <f>F3*G3</f>
        <v>364365.13152</v>
      </c>
    </row>
    <row r="17" spans="1:25">
      <c r="A17" s="16" t="s">
        <v>6</v>
      </c>
      <c r="B17" s="2">
        <f>SUM(B15:B16)</f>
        <v>695094.36244499998</v>
      </c>
    </row>
    <row r="18" spans="1:25" ht="18">
      <c r="A18" s="16" t="s">
        <v>21</v>
      </c>
      <c r="B18" s="7">
        <f>B17/1000</f>
        <v>695.094362445</v>
      </c>
    </row>
    <row r="19" spans="1:25" ht="18">
      <c r="A19" s="16" t="s">
        <v>22</v>
      </c>
      <c r="B19" s="7">
        <f>B18*8/100</f>
        <v>55.607548995599998</v>
      </c>
    </row>
    <row r="20" spans="1:25" ht="18">
      <c r="A20" s="16" t="s">
        <v>23</v>
      </c>
      <c r="B20" s="7">
        <f>B18*3/100</f>
        <v>20.852830873350001</v>
      </c>
    </row>
    <row r="21" spans="1:25" ht="18">
      <c r="A21" s="16" t="s">
        <v>24</v>
      </c>
      <c r="B21" s="7">
        <f>B18*20/100</f>
        <v>139.01887248899999</v>
      </c>
    </row>
    <row r="22" spans="1:25" ht="18">
      <c r="A22" s="16" t="s">
        <v>25</v>
      </c>
      <c r="B22" s="7">
        <f>B18*5/100</f>
        <v>34.754718122249997</v>
      </c>
    </row>
    <row r="23" spans="1:25" ht="18">
      <c r="A23" s="16" t="s">
        <v>26</v>
      </c>
      <c r="B23" s="7">
        <v>5</v>
      </c>
    </row>
    <row r="24" spans="1:25" ht="18">
      <c r="A24" s="16" t="s">
        <v>6</v>
      </c>
      <c r="B24" s="7">
        <f>SUM(B18:B23)</f>
        <v>950.32833292520002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51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15.1</v>
      </c>
      <c r="C3" s="2"/>
      <c r="D3" s="16">
        <v>14.1</v>
      </c>
      <c r="E3" s="16">
        <f>(B3*D3)/2</f>
        <v>106.455</v>
      </c>
      <c r="F3" s="16">
        <f>E3*1.196</f>
        <v>127.32017999999999</v>
      </c>
      <c r="G3" s="16">
        <v>3200</v>
      </c>
      <c r="H3" s="16">
        <f>F3*G3</f>
        <v>407424.576</v>
      </c>
    </row>
    <row r="4" spans="1:24">
      <c r="A4" s="16" t="s">
        <v>8</v>
      </c>
      <c r="B4" s="2">
        <v>14.3</v>
      </c>
      <c r="C4" s="2"/>
      <c r="D4" s="16">
        <v>13.2</v>
      </c>
      <c r="E4" s="16">
        <f>(B4*D4)/2</f>
        <v>94.38</v>
      </c>
      <c r="F4" s="16">
        <f>E4*10.7639</f>
        <v>1015.896882</v>
      </c>
      <c r="G4" s="16">
        <v>1500</v>
      </c>
      <c r="H4" s="16">
        <f>F4*G4</f>
        <v>1523845.3230000001</v>
      </c>
    </row>
    <row r="5" spans="1:24">
      <c r="F5" s="3" t="s">
        <v>10</v>
      </c>
    </row>
    <row r="7" spans="1:24">
      <c r="A7" s="16" t="s">
        <v>8</v>
      </c>
      <c r="B7" s="2">
        <f>H4</f>
        <v>1523845.3230000001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1541845.3230000001</v>
      </c>
    </row>
    <row r="14" spans="1:24">
      <c r="A14" s="19">
        <v>-0.1</v>
      </c>
      <c r="B14" s="2">
        <f>B13*10/100</f>
        <v>154184.53229999999</v>
      </c>
      <c r="G14" s="20"/>
    </row>
    <row r="15" spans="1:24">
      <c r="A15" s="16" t="s">
        <v>20</v>
      </c>
      <c r="B15" s="2">
        <f>B13-B14</f>
        <v>1387660.7907</v>
      </c>
    </row>
    <row r="16" spans="1:24">
      <c r="A16" s="16" t="s">
        <v>7</v>
      </c>
      <c r="B16" s="2">
        <f>F3*G3</f>
        <v>407424.576</v>
      </c>
    </row>
    <row r="17" spans="1:25">
      <c r="A17" s="16" t="s">
        <v>6</v>
      </c>
      <c r="B17" s="2">
        <f>SUM(B15:B16)</f>
        <v>1795085.3666999999</v>
      </c>
    </row>
    <row r="18" spans="1:25" ht="18">
      <c r="A18" s="16" t="s">
        <v>21</v>
      </c>
      <c r="B18" s="7">
        <f>B17/1000</f>
        <v>1795.0853666999999</v>
      </c>
    </row>
    <row r="19" spans="1:25" ht="18">
      <c r="A19" s="16" t="s">
        <v>22</v>
      </c>
      <c r="B19" s="7">
        <f>B18*8/100</f>
        <v>143.606829336</v>
      </c>
    </row>
    <row r="20" spans="1:25" ht="18">
      <c r="A20" s="16" t="s">
        <v>23</v>
      </c>
      <c r="B20" s="7">
        <f>B18*3/100</f>
        <v>53.852561000999998</v>
      </c>
    </row>
    <row r="21" spans="1:25" ht="18">
      <c r="A21" s="16" t="s">
        <v>24</v>
      </c>
      <c r="B21" s="7">
        <f>B18*20/100</f>
        <v>359.01707334000002</v>
      </c>
    </row>
    <row r="22" spans="1:25" ht="18">
      <c r="A22" s="16" t="s">
        <v>25</v>
      </c>
      <c r="B22" s="7">
        <f>B18*5/100</f>
        <v>89.754268335000006</v>
      </c>
    </row>
    <row r="23" spans="1:25" ht="18">
      <c r="A23" s="16" t="s">
        <v>26</v>
      </c>
      <c r="B23" s="7">
        <f>B18*1/100</f>
        <v>17.950853667000001</v>
      </c>
    </row>
    <row r="24" spans="1:25" ht="18">
      <c r="A24" s="16" t="s">
        <v>6</v>
      </c>
      <c r="B24" s="7">
        <f>SUM(B18:B23)</f>
        <v>2459.266952379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1"/>
  <sheetViews>
    <sheetView workbookViewId="0">
      <selection sqref="A1:H1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66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15.1</v>
      </c>
      <c r="C3" s="2"/>
      <c r="D3" s="16">
        <v>14.1</v>
      </c>
      <c r="E3" s="16">
        <f>(B3*D3)/2</f>
        <v>106.455</v>
      </c>
      <c r="F3" s="16">
        <f>E3*1.196</f>
        <v>127.32017999999999</v>
      </c>
      <c r="G3" s="16">
        <v>3200</v>
      </c>
      <c r="H3" s="16">
        <f>F3*G3</f>
        <v>407424.576</v>
      </c>
    </row>
    <row r="4" spans="1:24">
      <c r="A4" s="16" t="s">
        <v>8</v>
      </c>
      <c r="B4" s="2">
        <v>14.3</v>
      </c>
      <c r="C4" s="2"/>
      <c r="D4" s="16">
        <v>13.2</v>
      </c>
      <c r="E4" s="16">
        <f>(B4*D4)/2</f>
        <v>94.38</v>
      </c>
      <c r="F4" s="16">
        <f>E4*10.7639</f>
        <v>1015.896882</v>
      </c>
      <c r="G4" s="16">
        <v>1500</v>
      </c>
      <c r="H4" s="16">
        <f>F4*G4</f>
        <v>1523845.3230000001</v>
      </c>
    </row>
    <row r="5" spans="1:24">
      <c r="F5" s="3" t="s">
        <v>10</v>
      </c>
    </row>
    <row r="7" spans="1:24">
      <c r="A7" s="16" t="s">
        <v>8</v>
      </c>
      <c r="B7" s="2">
        <f>H4</f>
        <v>1523845.3230000001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1541845.3230000001</v>
      </c>
    </row>
    <row r="14" spans="1:24">
      <c r="A14" s="19">
        <v>-0.1</v>
      </c>
      <c r="B14" s="2">
        <f>B13*10/100</f>
        <v>154184.53229999999</v>
      </c>
      <c r="G14" s="20"/>
    </row>
    <row r="15" spans="1:24">
      <c r="A15" s="16" t="s">
        <v>20</v>
      </c>
      <c r="B15" s="2">
        <f>B13-B14</f>
        <v>1387660.7907</v>
      </c>
    </row>
    <row r="16" spans="1:24">
      <c r="A16" s="16" t="s">
        <v>7</v>
      </c>
      <c r="B16" s="2">
        <f>F3*G3</f>
        <v>407424.576</v>
      </c>
    </row>
    <row r="17" spans="1:25">
      <c r="A17" s="16" t="s">
        <v>6</v>
      </c>
      <c r="B17" s="2">
        <f>SUM(B15:B16)</f>
        <v>1795085.3666999999</v>
      </c>
    </row>
    <row r="18" spans="1:25" ht="18">
      <c r="A18" s="16" t="s">
        <v>21</v>
      </c>
      <c r="B18" s="7">
        <f>B17/1000</f>
        <v>1795.0853666999999</v>
      </c>
    </row>
    <row r="19" spans="1:25" ht="18">
      <c r="A19" s="16" t="s">
        <v>22</v>
      </c>
      <c r="B19" s="7">
        <f>B18*8/100</f>
        <v>143.606829336</v>
      </c>
    </row>
    <row r="20" spans="1:25" ht="18">
      <c r="A20" s="16" t="s">
        <v>23</v>
      </c>
      <c r="B20" s="7">
        <f>B18*3/100</f>
        <v>53.852561000999998</v>
      </c>
    </row>
    <row r="21" spans="1:25" ht="18">
      <c r="A21" s="16" t="s">
        <v>24</v>
      </c>
      <c r="B21" s="7">
        <f>B18*20/100</f>
        <v>359.01707334000002</v>
      </c>
    </row>
    <row r="22" spans="1:25" ht="18">
      <c r="A22" s="16" t="s">
        <v>25</v>
      </c>
      <c r="B22" s="7">
        <f>B18*5/100</f>
        <v>89.754268335000006</v>
      </c>
    </row>
    <row r="23" spans="1:25" ht="18">
      <c r="A23" s="16" t="s">
        <v>26</v>
      </c>
      <c r="B23" s="7">
        <f>B18*1/100</f>
        <v>17.950853667000001</v>
      </c>
    </row>
    <row r="24" spans="1:25" ht="18">
      <c r="A24" s="16" t="s">
        <v>6</v>
      </c>
      <c r="B24" s="7">
        <f>SUM(B18:B23)</f>
        <v>2459.266952379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52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12.5</v>
      </c>
      <c r="C3" s="2"/>
      <c r="D3" s="16">
        <v>14.7</v>
      </c>
      <c r="E3" s="16">
        <f>B3*D3</f>
        <v>183.75</v>
      </c>
      <c r="F3" s="16">
        <f>E3*1.196</f>
        <v>219.76499999999999</v>
      </c>
      <c r="G3" s="16">
        <v>3200</v>
      </c>
      <c r="H3" s="16">
        <f>F3*G3</f>
        <v>703248</v>
      </c>
    </row>
    <row r="4" spans="1:24">
      <c r="A4" s="16" t="s">
        <v>8</v>
      </c>
      <c r="B4" s="2">
        <v>11.4</v>
      </c>
      <c r="C4" s="2"/>
      <c r="D4" s="16">
        <v>14.24</v>
      </c>
      <c r="E4" s="16">
        <f>B4*D4*1.5</f>
        <v>243.50399999999999</v>
      </c>
      <c r="F4" s="16">
        <f>E4*10.7639</f>
        <v>2621.0527056000001</v>
      </c>
      <c r="G4" s="16">
        <v>1500</v>
      </c>
      <c r="H4" s="16">
        <f>F4*G4</f>
        <v>3931579.0584</v>
      </c>
    </row>
    <row r="5" spans="1:24">
      <c r="A5" t="s">
        <v>53</v>
      </c>
      <c r="F5" s="3" t="s">
        <v>10</v>
      </c>
    </row>
    <row r="7" spans="1:24">
      <c r="A7" s="16" t="s">
        <v>8</v>
      </c>
      <c r="B7" s="2">
        <f>H4</f>
        <v>3931579.0584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3949579.0584</v>
      </c>
    </row>
    <row r="14" spans="1:24">
      <c r="A14" s="19">
        <v>-0.1</v>
      </c>
      <c r="B14" s="2">
        <f>B13*10/100</f>
        <v>394957.90584000002</v>
      </c>
      <c r="G14" s="20"/>
    </row>
    <row r="15" spans="1:24">
      <c r="A15" s="16" t="s">
        <v>20</v>
      </c>
      <c r="B15" s="2">
        <f>B13-B14</f>
        <v>3554621.1525599998</v>
      </c>
    </row>
    <row r="16" spans="1:24">
      <c r="A16" s="16" t="s">
        <v>7</v>
      </c>
      <c r="B16" s="2">
        <f>F3*G3</f>
        <v>703248</v>
      </c>
    </row>
    <row r="17" spans="1:25">
      <c r="A17" s="16" t="s">
        <v>6</v>
      </c>
      <c r="B17" s="2">
        <f>SUM(B15:B16)</f>
        <v>4257869.1525600003</v>
      </c>
    </row>
    <row r="18" spans="1:25" ht="18">
      <c r="A18" s="16" t="s">
        <v>21</v>
      </c>
      <c r="B18" s="7">
        <f>B17/1000</f>
        <v>4257.8691525599997</v>
      </c>
    </row>
    <row r="19" spans="1:25" ht="18">
      <c r="A19" s="16" t="s">
        <v>22</v>
      </c>
      <c r="B19" s="7">
        <f>B18*8/100</f>
        <v>340.6295322048</v>
      </c>
    </row>
    <row r="20" spans="1:25" ht="18">
      <c r="A20" s="16" t="s">
        <v>23</v>
      </c>
      <c r="B20" s="7">
        <f>B18*3/100</f>
        <v>127.73607457679999</v>
      </c>
    </row>
    <row r="21" spans="1:25" ht="18">
      <c r="A21" s="16" t="s">
        <v>24</v>
      </c>
      <c r="B21" s="7">
        <f>B18*20/100</f>
        <v>851.57383051199997</v>
      </c>
    </row>
    <row r="22" spans="1:25" ht="18">
      <c r="A22" s="16" t="s">
        <v>25</v>
      </c>
      <c r="B22" s="7">
        <f>B18*5/100</f>
        <v>212.89345762799999</v>
      </c>
    </row>
    <row r="23" spans="1:25" ht="18">
      <c r="A23" s="16" t="s">
        <v>26</v>
      </c>
      <c r="B23" s="7">
        <f>B18*1/100</f>
        <v>42.5786915256</v>
      </c>
    </row>
    <row r="24" spans="1:25" ht="18">
      <c r="A24" s="16" t="s">
        <v>6</v>
      </c>
      <c r="B24" s="7">
        <f>SUM(B18:B23)</f>
        <v>5833.2807390072003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1"/>
  <sheetViews>
    <sheetView workbookViewId="0">
      <selection activeCell="E9" sqref="E9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0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13.41</v>
      </c>
      <c r="C3" s="2"/>
      <c r="D3" s="16">
        <v>13.87</v>
      </c>
      <c r="E3" s="16">
        <f>B3*D3</f>
        <v>185.9967</v>
      </c>
      <c r="F3" s="16">
        <f>E3*1.196</f>
        <v>222.45205319999999</v>
      </c>
      <c r="G3" s="16">
        <v>3200</v>
      </c>
      <c r="H3" s="16">
        <f>F3*G3</f>
        <v>711846.57024000003</v>
      </c>
    </row>
    <row r="4" spans="1:24">
      <c r="A4" s="16" t="s">
        <v>8</v>
      </c>
      <c r="B4" s="2">
        <v>7.31</v>
      </c>
      <c r="C4" s="2"/>
      <c r="D4" s="16">
        <v>12.75</v>
      </c>
      <c r="E4" s="16">
        <f>B4*D4*3.39</f>
        <v>315.95647500000001</v>
      </c>
      <c r="F4" s="16">
        <f>E4*10.7639</f>
        <v>3400.9239012524999</v>
      </c>
      <c r="G4" s="16">
        <v>1500</v>
      </c>
      <c r="H4" s="16">
        <f>F4*G4</f>
        <v>5101385.8518787501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5101385.8518787501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5119385.8518787501</v>
      </c>
    </row>
    <row r="14" spans="1:24">
      <c r="A14" s="19">
        <v>-0.1</v>
      </c>
      <c r="B14" s="2">
        <f>B13*10/100</f>
        <v>511938.58518787503</v>
      </c>
      <c r="G14" s="20"/>
    </row>
    <row r="15" spans="1:24">
      <c r="A15" s="16" t="s">
        <v>20</v>
      </c>
      <c r="B15" s="2">
        <f>B13-B14</f>
        <v>4607447.2666908801</v>
      </c>
    </row>
    <row r="16" spans="1:24">
      <c r="A16" s="16" t="s">
        <v>7</v>
      </c>
      <c r="B16" s="2">
        <f>F3*G3</f>
        <v>711846.57024000003</v>
      </c>
    </row>
    <row r="17" spans="1:25">
      <c r="A17" s="16" t="s">
        <v>6</v>
      </c>
      <c r="B17" s="2">
        <f>SUM(B15:B16)</f>
        <v>5319293.8369308803</v>
      </c>
    </row>
    <row r="18" spans="1:25" ht="18">
      <c r="A18" s="16" t="s">
        <v>21</v>
      </c>
      <c r="B18" s="7">
        <f>B17/1000</f>
        <v>5319.2938369308804</v>
      </c>
    </row>
    <row r="19" spans="1:25" ht="18">
      <c r="A19" s="16" t="s">
        <v>22</v>
      </c>
      <c r="B19" s="7">
        <f>B18*8/100</f>
        <v>425.54350695446999</v>
      </c>
    </row>
    <row r="20" spans="1:25" ht="18">
      <c r="A20" s="16" t="s">
        <v>23</v>
      </c>
      <c r="B20" s="7">
        <f>B18*3/100</f>
        <v>159.578815107926</v>
      </c>
    </row>
    <row r="21" spans="1:25" ht="18">
      <c r="A21" s="16" t="s">
        <v>24</v>
      </c>
      <c r="B21" s="7">
        <f>B18*20/100</f>
        <v>1063.85876738618</v>
      </c>
    </row>
    <row r="22" spans="1:25" ht="18">
      <c r="A22" s="16" t="s">
        <v>25</v>
      </c>
      <c r="B22" s="7">
        <f>B18*5/100</f>
        <v>265.96469184654399</v>
      </c>
    </row>
    <row r="23" spans="1:25" ht="18">
      <c r="A23" s="16" t="s">
        <v>26</v>
      </c>
      <c r="B23" s="7">
        <f>B18*1/100</f>
        <v>53.192938369308798</v>
      </c>
    </row>
    <row r="24" spans="1:25" ht="18">
      <c r="A24" s="16" t="s">
        <v>6</v>
      </c>
      <c r="B24" s="7">
        <f>SUM(B18:B23)</f>
        <v>7287.4325565953004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54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8.99</v>
      </c>
      <c r="C3" s="2"/>
      <c r="D3" s="16">
        <v>10.59</v>
      </c>
      <c r="E3" s="16">
        <f>B3*D3</f>
        <v>95.204099999999997</v>
      </c>
      <c r="F3" s="16">
        <f>E3*1.196</f>
        <v>113.86410360000001</v>
      </c>
      <c r="G3" s="16">
        <v>3200</v>
      </c>
      <c r="H3" s="16">
        <f>F3*G3</f>
        <v>364365.13152</v>
      </c>
    </row>
    <row r="4" spans="1:24">
      <c r="A4" s="16" t="s">
        <v>8</v>
      </c>
      <c r="B4" s="2">
        <v>3.7</v>
      </c>
      <c r="C4" s="2"/>
      <c r="D4" s="16">
        <v>5.85</v>
      </c>
      <c r="E4" s="16">
        <f>B4*D4</f>
        <v>21.645</v>
      </c>
      <c r="F4" s="16">
        <f>E4*10.7639</f>
        <v>232.98461549999999</v>
      </c>
      <c r="G4" s="16">
        <v>1500</v>
      </c>
      <c r="H4" s="16">
        <f>F4*G4</f>
        <v>349476.92324999999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349476.92324999999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367476.92324999999</v>
      </c>
    </row>
    <row r="14" spans="1:24">
      <c r="A14" s="19">
        <v>-0.1</v>
      </c>
      <c r="B14" s="2">
        <f>B13*10/100</f>
        <v>36747.692325000004</v>
      </c>
      <c r="G14" s="20"/>
    </row>
    <row r="15" spans="1:24">
      <c r="A15" s="16" t="s">
        <v>20</v>
      </c>
      <c r="B15" s="2">
        <f>B13-B14</f>
        <v>330729.23092499998</v>
      </c>
    </row>
    <row r="16" spans="1:24">
      <c r="A16" s="16" t="s">
        <v>7</v>
      </c>
      <c r="B16" s="2">
        <f>F3*G3</f>
        <v>364365.13152</v>
      </c>
    </row>
    <row r="17" spans="1:25">
      <c r="A17" s="16" t="s">
        <v>6</v>
      </c>
      <c r="B17" s="2">
        <f>SUM(B15:B16)</f>
        <v>695094.36244499998</v>
      </c>
    </row>
    <row r="18" spans="1:25" ht="18">
      <c r="A18" s="16" t="s">
        <v>21</v>
      </c>
      <c r="B18" s="7">
        <f>B17/1000</f>
        <v>695.094362445</v>
      </c>
    </row>
    <row r="19" spans="1:25" ht="18">
      <c r="A19" s="16" t="s">
        <v>22</v>
      </c>
      <c r="B19" s="7">
        <f>B18*8/100</f>
        <v>55.607548995599998</v>
      </c>
    </row>
    <row r="20" spans="1:25" ht="18">
      <c r="A20" s="16" t="s">
        <v>23</v>
      </c>
      <c r="B20" s="7">
        <f>B18*3/100</f>
        <v>20.852830873350001</v>
      </c>
    </row>
    <row r="21" spans="1:25" ht="18">
      <c r="A21" s="16" t="s">
        <v>24</v>
      </c>
      <c r="B21" s="7">
        <f>B18*20/100</f>
        <v>139.01887248899999</v>
      </c>
    </row>
    <row r="22" spans="1:25" ht="18">
      <c r="A22" s="16" t="s">
        <v>25</v>
      </c>
      <c r="B22" s="7">
        <f>B18*5/100</f>
        <v>34.754718122249997</v>
      </c>
    </row>
    <row r="23" spans="1:25" ht="18">
      <c r="A23" s="16" t="s">
        <v>26</v>
      </c>
      <c r="B23" s="7">
        <f>B18*1/100</f>
        <v>6.9509436244499998</v>
      </c>
    </row>
    <row r="24" spans="1:25" ht="18">
      <c r="A24" s="16" t="s">
        <v>6</v>
      </c>
      <c r="B24" s="7">
        <f>SUM(B18:B23)</f>
        <v>952.27927654965004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55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7.75</v>
      </c>
      <c r="C3" s="2"/>
      <c r="D3" s="16">
        <v>9</v>
      </c>
      <c r="E3" s="16">
        <f>B3*D3</f>
        <v>69.75</v>
      </c>
      <c r="F3" s="16">
        <f>E3*1.196</f>
        <v>83.421000000000006</v>
      </c>
      <c r="G3" s="16">
        <v>3200</v>
      </c>
      <c r="H3" s="16">
        <f>F3*G3</f>
        <v>266947.20000000001</v>
      </c>
    </row>
    <row r="4" spans="1:24">
      <c r="A4" s="16" t="s">
        <v>8</v>
      </c>
      <c r="B4" s="2">
        <v>6.3</v>
      </c>
      <c r="C4" s="2"/>
      <c r="D4" s="16">
        <v>6.3</v>
      </c>
      <c r="E4" s="16">
        <f>B4*D4</f>
        <v>39.69</v>
      </c>
      <c r="F4" s="16">
        <f>E4*10.7639</f>
        <v>427.21919100000002</v>
      </c>
      <c r="G4" s="16">
        <v>1500</v>
      </c>
      <c r="H4" s="16">
        <f>F4*G4</f>
        <v>640828.78650000005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640828.78650000005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658828.78650000005</v>
      </c>
    </row>
    <row r="14" spans="1:24">
      <c r="A14" s="19">
        <v>-0.1</v>
      </c>
      <c r="B14" s="2">
        <f>B13*10/100</f>
        <v>65882.878649999999</v>
      </c>
      <c r="G14" s="20"/>
    </row>
    <row r="15" spans="1:24">
      <c r="A15" s="16" t="s">
        <v>20</v>
      </c>
      <c r="B15" s="2">
        <f>B13-B14</f>
        <v>592945.90784999996</v>
      </c>
    </row>
    <row r="16" spans="1:24">
      <c r="A16" s="16" t="s">
        <v>7</v>
      </c>
      <c r="B16" s="2">
        <f>F3*G3</f>
        <v>266947.20000000001</v>
      </c>
    </row>
    <row r="17" spans="1:25">
      <c r="A17" s="16" t="s">
        <v>6</v>
      </c>
      <c r="B17" s="2">
        <f>SUM(B15:B16)</f>
        <v>859893.10785000003</v>
      </c>
    </row>
    <row r="18" spans="1:25" ht="18">
      <c r="A18" s="16" t="s">
        <v>21</v>
      </c>
      <c r="B18" s="7">
        <f>B17/1000</f>
        <v>859.89310784999998</v>
      </c>
    </row>
    <row r="19" spans="1:25" ht="18">
      <c r="A19" s="16" t="s">
        <v>22</v>
      </c>
      <c r="B19" s="7">
        <f>B18*8/100</f>
        <v>68.791448627999998</v>
      </c>
    </row>
    <row r="20" spans="1:25" ht="18">
      <c r="A20" s="16" t="s">
        <v>23</v>
      </c>
      <c r="B20" s="7">
        <f>B18*3/100</f>
        <v>25.796793235500001</v>
      </c>
    </row>
    <row r="21" spans="1:25" ht="18">
      <c r="A21" s="16" t="s">
        <v>24</v>
      </c>
      <c r="B21" s="7">
        <f>B18*20/100</f>
        <v>171.97862157</v>
      </c>
    </row>
    <row r="22" spans="1:25" ht="18">
      <c r="A22" s="16" t="s">
        <v>25</v>
      </c>
      <c r="B22" s="7">
        <f>B18*5/100</f>
        <v>42.9946553925</v>
      </c>
    </row>
    <row r="23" spans="1:25" ht="18">
      <c r="A23" s="16" t="s">
        <v>26</v>
      </c>
      <c r="B23" s="7">
        <f>B18*1/100</f>
        <v>8.5989310784999997</v>
      </c>
    </row>
    <row r="24" spans="1:25" ht="18">
      <c r="A24" s="16" t="s">
        <v>6</v>
      </c>
      <c r="B24" s="7">
        <f>SUM(B18:B23)</f>
        <v>1178.0535577544999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1"/>
  <sheetViews>
    <sheetView workbookViewId="0">
      <selection activeCell="E10" sqref="E10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56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30.48</v>
      </c>
      <c r="C3" s="2"/>
      <c r="D3" s="16">
        <v>10.97</v>
      </c>
      <c r="E3" s="16">
        <f>B3*D3</f>
        <v>334.36559999999997</v>
      </c>
      <c r="F3" s="16">
        <f>E3*1.196</f>
        <v>399.90125760000001</v>
      </c>
      <c r="G3" s="16">
        <v>3200</v>
      </c>
      <c r="H3" s="16">
        <f>F3*G3</f>
        <v>1279684.0243200001</v>
      </c>
    </row>
    <row r="4" spans="1:24">
      <c r="A4" s="16" t="s">
        <v>8</v>
      </c>
      <c r="B4" s="2">
        <v>12.19</v>
      </c>
      <c r="C4" s="2"/>
      <c r="D4" s="16">
        <v>7.32</v>
      </c>
      <c r="E4" s="16">
        <f>B4*D4</f>
        <v>89.230800000000002</v>
      </c>
      <c r="F4" s="16">
        <f>E4*10.7639</f>
        <v>960.47140811999998</v>
      </c>
      <c r="G4" s="16">
        <v>1500</v>
      </c>
      <c r="H4" s="16">
        <f>F4*G4</f>
        <v>1440707.1121799999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1440707.1121799999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b">
        <v>1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1458707.1121799999</v>
      </c>
    </row>
    <row r="14" spans="1:24">
      <c r="A14" s="19">
        <v>-0.1</v>
      </c>
      <c r="B14" s="2">
        <f>B13*10/100</f>
        <v>145870.71121800001</v>
      </c>
      <c r="G14" s="20"/>
    </row>
    <row r="15" spans="1:24">
      <c r="A15" s="16" t="s">
        <v>20</v>
      </c>
      <c r="B15" s="2">
        <f>B13-B14</f>
        <v>1312836.400962</v>
      </c>
    </row>
    <row r="16" spans="1:24">
      <c r="A16" s="16" t="s">
        <v>7</v>
      </c>
      <c r="B16" s="2">
        <f>F3*G3</f>
        <v>1279684.0243200001</v>
      </c>
    </row>
    <row r="17" spans="1:25">
      <c r="A17" s="16" t="s">
        <v>6</v>
      </c>
      <c r="B17" s="2">
        <f>SUM(B15:B16)</f>
        <v>2592520.4252820001</v>
      </c>
    </row>
    <row r="18" spans="1:25" ht="18">
      <c r="A18" s="16" t="s">
        <v>21</v>
      </c>
      <c r="B18" s="7">
        <f>B17/1000</f>
        <v>2592.5204252819999</v>
      </c>
    </row>
    <row r="19" spans="1:25" ht="18">
      <c r="A19" s="16" t="s">
        <v>22</v>
      </c>
      <c r="B19" s="7">
        <f>B18*8/100</f>
        <v>207.40163402255999</v>
      </c>
    </row>
    <row r="20" spans="1:25" ht="18">
      <c r="A20" s="16" t="s">
        <v>23</v>
      </c>
      <c r="B20" s="7">
        <f>B18*3/100</f>
        <v>77.775612758459999</v>
      </c>
    </row>
    <row r="21" spans="1:25" ht="18">
      <c r="A21" s="16" t="s">
        <v>24</v>
      </c>
      <c r="B21" s="7">
        <f>B18*20/100</f>
        <v>518.50408505639996</v>
      </c>
    </row>
    <row r="22" spans="1:25" ht="18">
      <c r="A22" s="16" t="s">
        <v>25</v>
      </c>
      <c r="B22" s="7">
        <f>B18*5/100</f>
        <v>129.62602126409999</v>
      </c>
    </row>
    <row r="23" spans="1:25" ht="18">
      <c r="A23" s="16" t="s">
        <v>26</v>
      </c>
      <c r="B23" s="7">
        <f>B18*1/100</f>
        <v>25.925204252819999</v>
      </c>
    </row>
    <row r="24" spans="1:25" ht="18">
      <c r="A24" s="16" t="s">
        <v>6</v>
      </c>
      <c r="B24" s="7">
        <f>SUM(B18:B23)</f>
        <v>3551.7529826363402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57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20.2</v>
      </c>
      <c r="C3" s="2"/>
      <c r="D3" s="16">
        <v>9.6</v>
      </c>
      <c r="E3" s="16">
        <f>B3*D3</f>
        <v>193.92</v>
      </c>
      <c r="F3" s="16">
        <f>E3*1.196</f>
        <v>231.92832000000001</v>
      </c>
      <c r="G3" s="16">
        <v>3200</v>
      </c>
      <c r="H3" s="16">
        <f>F3*G3</f>
        <v>742170.62399999995</v>
      </c>
    </row>
    <row r="4" spans="1:24">
      <c r="A4" s="16" t="s">
        <v>8</v>
      </c>
      <c r="B4" s="2">
        <v>13.5</v>
      </c>
      <c r="C4" s="2"/>
      <c r="D4" s="16">
        <v>8.1</v>
      </c>
      <c r="E4" s="16">
        <f>B4*D4</f>
        <v>109.35</v>
      </c>
      <c r="F4" s="16">
        <f>E4*10.7639</f>
        <v>1177.032465</v>
      </c>
      <c r="G4" s="16">
        <v>1500</v>
      </c>
      <c r="H4" s="16">
        <f>F4*G4</f>
        <v>1765548.6975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1765548.6975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1783548.6975</v>
      </c>
    </row>
    <row r="14" spans="1:24">
      <c r="A14" s="19">
        <v>-0.1</v>
      </c>
      <c r="B14" s="2">
        <f>B13*10/100</f>
        <v>178354.86975000001</v>
      </c>
      <c r="G14" s="20"/>
    </row>
    <row r="15" spans="1:24">
      <c r="A15" s="16" t="s">
        <v>20</v>
      </c>
      <c r="B15" s="2">
        <f>B13-B14</f>
        <v>1605193.8277499999</v>
      </c>
    </row>
    <row r="16" spans="1:24">
      <c r="A16" s="16" t="s">
        <v>7</v>
      </c>
      <c r="B16" s="2">
        <f>F3*G3</f>
        <v>742170.62399999995</v>
      </c>
    </row>
    <row r="17" spans="1:25">
      <c r="A17" s="16" t="s">
        <v>6</v>
      </c>
      <c r="B17" s="2">
        <f>SUM(B15:B16)</f>
        <v>2347364.45175</v>
      </c>
    </row>
    <row r="18" spans="1:25" ht="18">
      <c r="A18" s="16" t="s">
        <v>21</v>
      </c>
      <c r="B18" s="7">
        <f>B17/1000</f>
        <v>2347.3644517500002</v>
      </c>
    </row>
    <row r="19" spans="1:25" ht="18">
      <c r="A19" s="16" t="s">
        <v>22</v>
      </c>
      <c r="B19" s="7">
        <f>B18*8/100</f>
        <v>187.78915613999999</v>
      </c>
    </row>
    <row r="20" spans="1:25" ht="18">
      <c r="A20" s="16" t="s">
        <v>23</v>
      </c>
      <c r="B20" s="7">
        <f>B18*3/100</f>
        <v>70.420933552500003</v>
      </c>
    </row>
    <row r="21" spans="1:25" ht="18">
      <c r="A21" s="16" t="s">
        <v>24</v>
      </c>
      <c r="B21" s="7">
        <f>B18*20/100</f>
        <v>469.47289035</v>
      </c>
    </row>
    <row r="22" spans="1:25" ht="18">
      <c r="A22" s="16" t="s">
        <v>25</v>
      </c>
      <c r="B22" s="7">
        <f>B18*5/100</f>
        <v>117.3682225875</v>
      </c>
    </row>
    <row r="23" spans="1:25" ht="18">
      <c r="A23" s="16" t="s">
        <v>26</v>
      </c>
      <c r="B23" s="7">
        <f>B18*1/100</f>
        <v>23.473644517499999</v>
      </c>
    </row>
    <row r="24" spans="1:25" ht="18">
      <c r="A24" s="16" t="s">
        <v>6</v>
      </c>
      <c r="B24" s="7">
        <f>SUM(B18:B23)</f>
        <v>3215.8892988974999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1"/>
  <sheetViews>
    <sheetView workbookViewId="0">
      <selection activeCell="F4" sqref="F4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58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10</v>
      </c>
      <c r="C3" s="2"/>
      <c r="D3" s="16">
        <v>8</v>
      </c>
      <c r="E3" s="16">
        <f>B3*D3</f>
        <v>80</v>
      </c>
      <c r="F3" s="16">
        <f>E3*1.196</f>
        <v>95.68</v>
      </c>
      <c r="G3" s="16">
        <v>3200</v>
      </c>
      <c r="H3" s="16">
        <f>F3*G3</f>
        <v>306176</v>
      </c>
    </row>
    <row r="4" spans="1:24">
      <c r="A4" s="16" t="s">
        <v>8</v>
      </c>
      <c r="B4" s="2">
        <v>8.5</v>
      </c>
      <c r="C4" s="2"/>
      <c r="D4" s="16">
        <v>7.5</v>
      </c>
      <c r="E4" s="16">
        <f>B4*D4</f>
        <v>63.75</v>
      </c>
      <c r="F4" s="16">
        <f>E4*10.7639</f>
        <v>686.19862499999999</v>
      </c>
      <c r="G4" s="16">
        <v>1500</v>
      </c>
      <c r="H4" s="16">
        <f>F4*G4</f>
        <v>1029297.9375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1029297.9375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1047297.9375</v>
      </c>
    </row>
    <row r="14" spans="1:24">
      <c r="A14" s="19">
        <v>-0.1</v>
      </c>
      <c r="B14" s="2">
        <f>B13*10/100</f>
        <v>104729.79375</v>
      </c>
      <c r="G14" s="20"/>
    </row>
    <row r="15" spans="1:24">
      <c r="A15" s="16" t="s">
        <v>20</v>
      </c>
      <c r="B15" s="2">
        <f>B13-B14</f>
        <v>942568.14375000005</v>
      </c>
    </row>
    <row r="16" spans="1:24">
      <c r="A16" s="16" t="s">
        <v>7</v>
      </c>
      <c r="B16" s="2">
        <f>F3*G3</f>
        <v>306176</v>
      </c>
    </row>
    <row r="17" spans="1:25">
      <c r="A17" s="16" t="s">
        <v>6</v>
      </c>
      <c r="B17" s="2">
        <f>SUM(B15:B16)</f>
        <v>1248744.14375</v>
      </c>
    </row>
    <row r="18" spans="1:25" ht="18">
      <c r="A18" s="16" t="s">
        <v>21</v>
      </c>
      <c r="B18" s="7">
        <f>B17/1000</f>
        <v>1248.7441437499999</v>
      </c>
    </row>
    <row r="19" spans="1:25" ht="18">
      <c r="A19" s="16" t="s">
        <v>22</v>
      </c>
      <c r="B19" s="7">
        <f>B18*8/100</f>
        <v>99.899531499999995</v>
      </c>
    </row>
    <row r="20" spans="1:25" ht="18">
      <c r="A20" s="16" t="s">
        <v>23</v>
      </c>
      <c r="B20" s="7">
        <f>B18*3/100</f>
        <v>37.462324312500002</v>
      </c>
    </row>
    <row r="21" spans="1:25" ht="18">
      <c r="A21" s="16" t="s">
        <v>24</v>
      </c>
      <c r="B21" s="7">
        <f>B18*20/100</f>
        <v>249.74882875</v>
      </c>
    </row>
    <row r="22" spans="1:25" ht="18">
      <c r="A22" s="16" t="s">
        <v>25</v>
      </c>
      <c r="B22" s="7">
        <f>B18*5/100</f>
        <v>62.4372071875</v>
      </c>
    </row>
    <row r="23" spans="1:25" ht="18">
      <c r="A23" s="16" t="s">
        <v>26</v>
      </c>
      <c r="B23" s="7">
        <f>B18*1/100</f>
        <v>12.487441437499999</v>
      </c>
    </row>
    <row r="24" spans="1:25" ht="18">
      <c r="A24" s="16" t="s">
        <v>6</v>
      </c>
      <c r="B24" s="7">
        <f>SUM(B18:B23)</f>
        <v>1710.7794769375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1"/>
  <sheetViews>
    <sheetView workbookViewId="0">
      <selection activeCell="B26" sqref="B2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59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23.2</v>
      </c>
      <c r="C3" s="2"/>
      <c r="D3" s="16">
        <v>10.7</v>
      </c>
      <c r="E3" s="16">
        <f>B3*D3</f>
        <v>248.24</v>
      </c>
      <c r="F3" s="16">
        <f>E3*1.196</f>
        <v>296.89503999999999</v>
      </c>
      <c r="G3" s="16">
        <v>3200</v>
      </c>
      <c r="H3" s="16">
        <f>F3*G3</f>
        <v>950064.12800000003</v>
      </c>
    </row>
    <row r="4" spans="1:24">
      <c r="A4" s="16" t="s">
        <v>8</v>
      </c>
      <c r="B4" s="2">
        <v>15</v>
      </c>
      <c r="C4" s="2"/>
      <c r="D4" s="16">
        <v>4.8</v>
      </c>
      <c r="E4" s="16">
        <f>B4*D4</f>
        <v>72</v>
      </c>
      <c r="F4" s="16">
        <f>E4*10.7639</f>
        <v>775.00080000000003</v>
      </c>
      <c r="G4" s="16">
        <v>1500</v>
      </c>
      <c r="H4" s="16">
        <f>F4*G4</f>
        <v>1162501.2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1162501.2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1180501.2</v>
      </c>
    </row>
    <row r="14" spans="1:24">
      <c r="A14" s="19">
        <v>-0.1</v>
      </c>
      <c r="B14" s="2">
        <f>B13*10/100</f>
        <v>118050.12</v>
      </c>
      <c r="G14" s="20"/>
    </row>
    <row r="15" spans="1:24">
      <c r="A15" s="16" t="s">
        <v>20</v>
      </c>
      <c r="B15" s="2">
        <f>B13-B14</f>
        <v>1062451.08</v>
      </c>
    </row>
    <row r="16" spans="1:24">
      <c r="A16" s="16" t="s">
        <v>7</v>
      </c>
      <c r="B16" s="2">
        <f>F3*G3</f>
        <v>950064.12800000003</v>
      </c>
    </row>
    <row r="17" spans="1:25">
      <c r="A17" s="16" t="s">
        <v>6</v>
      </c>
      <c r="B17" s="2">
        <f>SUM(B15:B16)</f>
        <v>2012515.2080000001</v>
      </c>
    </row>
    <row r="18" spans="1:25" ht="18">
      <c r="A18" s="16" t="s">
        <v>21</v>
      </c>
      <c r="B18" s="7">
        <f>B17/1000</f>
        <v>2012.515208</v>
      </c>
    </row>
    <row r="19" spans="1:25" ht="18">
      <c r="A19" s="16" t="s">
        <v>22</v>
      </c>
      <c r="B19" s="7">
        <f>B18*8/100</f>
        <v>161.00121664</v>
      </c>
    </row>
    <row r="20" spans="1:25" ht="18">
      <c r="A20" s="16" t="s">
        <v>23</v>
      </c>
      <c r="B20" s="7">
        <f>B18*3/100</f>
        <v>60.375456239999998</v>
      </c>
    </row>
    <row r="21" spans="1:25" ht="18">
      <c r="A21" s="16" t="s">
        <v>24</v>
      </c>
      <c r="B21" s="7">
        <f>B18*20/100</f>
        <v>402.50304160000002</v>
      </c>
    </row>
    <row r="22" spans="1:25" ht="18">
      <c r="A22" s="16" t="s">
        <v>25</v>
      </c>
      <c r="B22" s="7">
        <f>B18*5/100</f>
        <v>100.6257604</v>
      </c>
    </row>
    <row r="23" spans="1:25" ht="18">
      <c r="A23" s="16" t="s">
        <v>26</v>
      </c>
      <c r="B23" s="7">
        <f>B18*1/100</f>
        <v>20.125152079999999</v>
      </c>
    </row>
    <row r="24" spans="1:25" ht="18">
      <c r="A24" s="16" t="s">
        <v>6</v>
      </c>
      <c r="B24" s="7">
        <f>SUM(B18:B23)</f>
        <v>2757.1458349599998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>G28*H28</f>
        <v>50.4</v>
      </c>
      <c r="S28" s="1">
        <f>Q28*225</f>
        <v>25436.25</v>
      </c>
      <c r="T28" s="1">
        <f>R28*2500</f>
        <v>126000</v>
      </c>
      <c r="U28" s="1">
        <v>18000</v>
      </c>
      <c r="V28" s="1">
        <f>T28+U28</f>
        <v>144000</v>
      </c>
      <c r="W28" s="1">
        <f>V28*10/100</f>
        <v>14400</v>
      </c>
      <c r="X28" s="1">
        <f>V28-W28</f>
        <v>129600</v>
      </c>
      <c r="Y28" s="1">
        <f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ref="R29:R40" si="1">G29*H29</f>
        <v>0</v>
      </c>
      <c r="S29" s="1">
        <f t="shared" ref="S29:S40" si="2">Q29*225</f>
        <v>0</v>
      </c>
      <c r="T29" s="1">
        <f t="shared" ref="T29:T40" si="3">R29*2500</f>
        <v>0</v>
      </c>
      <c r="U29" s="1">
        <v>18000</v>
      </c>
      <c r="V29" s="1">
        <f t="shared" ref="V29:V40" si="4">T29+U29</f>
        <v>18000</v>
      </c>
      <c r="W29" s="1">
        <f t="shared" ref="W29:W40" si="5">V29*10/100</f>
        <v>1800</v>
      </c>
      <c r="X29" s="1">
        <f t="shared" ref="X29:X40" si="6">V29-W29</f>
        <v>16200</v>
      </c>
      <c r="Y29" s="1">
        <f t="shared" ref="Y29:Y40" si="7">S29+X29</f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41"/>
  <sheetViews>
    <sheetView view="pageBreakPreview" zoomScaleNormal="100" workbookViewId="0">
      <selection activeCell="D26" sqref="D2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60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19.72</v>
      </c>
      <c r="C3" s="2"/>
      <c r="D3" s="16">
        <v>6.22</v>
      </c>
      <c r="E3" s="16">
        <f>B3*D3</f>
        <v>122.6584</v>
      </c>
      <c r="F3" s="16">
        <f>E3*1.196</f>
        <v>146.6994464</v>
      </c>
      <c r="G3" s="16">
        <v>3200</v>
      </c>
      <c r="H3" s="16">
        <f>F3*G3</f>
        <v>469438.22847999999</v>
      </c>
    </row>
    <row r="4" spans="1:24">
      <c r="A4" s="16" t="s">
        <v>8</v>
      </c>
      <c r="B4" s="2">
        <v>10.32</v>
      </c>
      <c r="C4" s="2"/>
      <c r="D4" s="16">
        <v>6.22</v>
      </c>
      <c r="E4" s="16">
        <f>B4*D4</f>
        <v>64.190399999999997</v>
      </c>
      <c r="F4" s="16">
        <f>E4*10.7639</f>
        <v>690.93904655999995</v>
      </c>
      <c r="G4" s="16">
        <v>1500</v>
      </c>
      <c r="H4" s="16">
        <f>F4*G4</f>
        <v>1036408.56984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1036408.56984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1054408.56984</v>
      </c>
    </row>
    <row r="14" spans="1:24">
      <c r="A14" s="19">
        <v>-0.1</v>
      </c>
      <c r="B14" s="2">
        <f>B13*10/100</f>
        <v>105440.856984</v>
      </c>
      <c r="G14" s="20"/>
    </row>
    <row r="15" spans="1:24">
      <c r="A15" s="16" t="s">
        <v>20</v>
      </c>
      <c r="B15" s="2">
        <f>B13-B14</f>
        <v>948967.71285600006</v>
      </c>
    </row>
    <row r="16" spans="1:24">
      <c r="A16" s="16" t="s">
        <v>7</v>
      </c>
      <c r="B16" s="2">
        <f>F3*G3</f>
        <v>469438.22847999999</v>
      </c>
    </row>
    <row r="17" spans="1:25">
      <c r="A17" s="16" t="s">
        <v>6</v>
      </c>
      <c r="B17" s="2">
        <f>SUM(B15:B16)</f>
        <v>1418405.9413360001</v>
      </c>
    </row>
    <row r="18" spans="1:25" ht="18">
      <c r="A18" s="16" t="s">
        <v>21</v>
      </c>
      <c r="B18" s="7">
        <f>B17/1000</f>
        <v>1418.4059413360001</v>
      </c>
    </row>
    <row r="19" spans="1:25" ht="18">
      <c r="A19" s="16" t="s">
        <v>22</v>
      </c>
      <c r="B19" s="7">
        <f>B18*8/100</f>
        <v>113.47247530688</v>
      </c>
    </row>
    <row r="20" spans="1:25" ht="18">
      <c r="A20" s="16" t="s">
        <v>23</v>
      </c>
      <c r="B20" s="7">
        <f>B18*3/100</f>
        <v>42.552178240080003</v>
      </c>
    </row>
    <row r="21" spans="1:25" ht="18">
      <c r="A21" s="16" t="s">
        <v>24</v>
      </c>
      <c r="B21" s="7">
        <f>B18*20/100</f>
        <v>283.68118826720001</v>
      </c>
    </row>
    <row r="22" spans="1:25" ht="18">
      <c r="A22" s="16" t="s">
        <v>25</v>
      </c>
      <c r="B22" s="7">
        <f>B18*5/100</f>
        <v>70.920297066800003</v>
      </c>
    </row>
    <row r="23" spans="1:25" ht="18">
      <c r="A23" s="16" t="s">
        <v>26</v>
      </c>
      <c r="B23" s="7">
        <f>B18*1/100</f>
        <v>14.18405941336</v>
      </c>
    </row>
    <row r="24" spans="1:25" ht="18">
      <c r="A24" s="16" t="s">
        <v>6</v>
      </c>
      <c r="B24" s="7">
        <f>SUM(B18:B23)</f>
        <v>1943.21613963032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 t="shared" ref="R28:R40" si="1">G28*H28</f>
        <v>50.4</v>
      </c>
      <c r="S28" s="1">
        <f t="shared" ref="S28:S40" si="2">Q28*225</f>
        <v>25436.25</v>
      </c>
      <c r="T28" s="1">
        <f t="shared" ref="T28:T40" si="3">R28*2500</f>
        <v>126000</v>
      </c>
      <c r="U28" s="1">
        <v>18000</v>
      </c>
      <c r="V28" s="1">
        <f t="shared" ref="V28:V40" si="4">T28+U28</f>
        <v>144000</v>
      </c>
      <c r="W28" s="1">
        <f t="shared" ref="W28:W40" si="5">V28*10/100</f>
        <v>14400</v>
      </c>
      <c r="X28" s="1">
        <f t="shared" ref="X28:X40" si="6">V28-W28</f>
        <v>129600</v>
      </c>
      <c r="Y28" s="1">
        <f t="shared" ref="Y28:Y40" si="7"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si="1"/>
        <v>0</v>
      </c>
      <c r="S29" s="1">
        <f t="shared" si="2"/>
        <v>0</v>
      </c>
      <c r="T29" s="1">
        <f t="shared" si="3"/>
        <v>0</v>
      </c>
      <c r="U29" s="1">
        <v>18000</v>
      </c>
      <c r="V29" s="1">
        <f t="shared" si="4"/>
        <v>18000</v>
      </c>
      <c r="W29" s="1">
        <f t="shared" si="5"/>
        <v>1800</v>
      </c>
      <c r="X29" s="1">
        <f t="shared" si="6"/>
        <v>16200</v>
      </c>
      <c r="Y29" s="1">
        <f t="shared" si="7"/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5" right="0.75" top="1" bottom="1" header="0.5" footer="0.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41"/>
  <sheetViews>
    <sheetView workbookViewId="0">
      <selection activeCell="F4" sqref="F4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61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4</v>
      </c>
      <c r="C3" s="2"/>
      <c r="D3" s="16">
        <v>6</v>
      </c>
      <c r="E3" s="16">
        <f>B3*D3</f>
        <v>24</v>
      </c>
      <c r="F3" s="16">
        <f>E3*1.196</f>
        <v>28.704000000000001</v>
      </c>
      <c r="G3" s="16">
        <v>3200</v>
      </c>
      <c r="H3" s="16">
        <f>F3*G3</f>
        <v>91852.800000000003</v>
      </c>
    </row>
    <row r="4" spans="1:24">
      <c r="A4" s="16" t="s">
        <v>8</v>
      </c>
      <c r="B4" s="2">
        <v>4</v>
      </c>
      <c r="C4" s="2"/>
      <c r="D4" s="16">
        <v>6</v>
      </c>
      <c r="E4" s="16">
        <f>B4*D4</f>
        <v>24</v>
      </c>
      <c r="F4" s="16">
        <f>E4*10.7639</f>
        <v>258.33359999999999</v>
      </c>
      <c r="G4" s="16">
        <v>1500</v>
      </c>
      <c r="H4" s="16">
        <f>F4*G4</f>
        <v>387500.4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387500.4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405500.4</v>
      </c>
    </row>
    <row r="14" spans="1:24">
      <c r="A14" s="19">
        <v>-0.1</v>
      </c>
      <c r="B14" s="2">
        <f>B13*10/100</f>
        <v>40550.04</v>
      </c>
      <c r="G14" s="20"/>
    </row>
    <row r="15" spans="1:24">
      <c r="A15" s="16" t="s">
        <v>20</v>
      </c>
      <c r="B15" s="2">
        <f>B13-B14</f>
        <v>364950.36</v>
      </c>
    </row>
    <row r="16" spans="1:24">
      <c r="A16" s="16" t="s">
        <v>7</v>
      </c>
      <c r="B16" s="2">
        <f>F3*G3</f>
        <v>91852.800000000003</v>
      </c>
    </row>
    <row r="17" spans="1:25">
      <c r="A17" s="16" t="s">
        <v>6</v>
      </c>
      <c r="B17" s="2">
        <f>SUM(B15:B16)</f>
        <v>456803.16</v>
      </c>
    </row>
    <row r="18" spans="1:25" ht="18">
      <c r="A18" s="16" t="s">
        <v>21</v>
      </c>
      <c r="B18" s="7">
        <f>B17/1000</f>
        <v>456.80315999999999</v>
      </c>
    </row>
    <row r="19" spans="1:25" ht="18">
      <c r="A19" s="16" t="s">
        <v>22</v>
      </c>
      <c r="B19" s="7">
        <f>B18*8/100</f>
        <v>36.544252800000002</v>
      </c>
    </row>
    <row r="20" spans="1:25" ht="18">
      <c r="A20" s="16" t="s">
        <v>23</v>
      </c>
      <c r="B20" s="7">
        <f>B18*3/100</f>
        <v>13.7040948</v>
      </c>
    </row>
    <row r="21" spans="1:25" ht="18">
      <c r="A21" s="16" t="s">
        <v>24</v>
      </c>
      <c r="B21" s="7">
        <f>B18*20/100</f>
        <v>91.360631999999995</v>
      </c>
    </row>
    <row r="22" spans="1:25" ht="18">
      <c r="A22" s="16" t="s">
        <v>25</v>
      </c>
      <c r="B22" s="7">
        <f>B18*5/100</f>
        <v>22.840157999999999</v>
      </c>
    </row>
    <row r="23" spans="1:25" ht="18">
      <c r="A23" s="16" t="s">
        <v>26</v>
      </c>
      <c r="B23" s="7">
        <f>B18*1/100</f>
        <v>4.5680316000000003</v>
      </c>
    </row>
    <row r="24" spans="1:25" ht="18">
      <c r="A24" s="16" t="s">
        <v>6</v>
      </c>
      <c r="B24" s="7">
        <f>SUM(B18:B23)</f>
        <v>625.82032919999995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 t="shared" ref="R28:R40" si="1">G28*H28</f>
        <v>50.4</v>
      </c>
      <c r="S28" s="1">
        <f t="shared" ref="S28:S40" si="2">Q28*225</f>
        <v>25436.25</v>
      </c>
      <c r="T28" s="1">
        <f t="shared" ref="T28:T40" si="3">R28*2500</f>
        <v>126000</v>
      </c>
      <c r="U28" s="1">
        <v>18000</v>
      </c>
      <c r="V28" s="1">
        <f t="shared" ref="V28:V40" si="4">T28+U28</f>
        <v>144000</v>
      </c>
      <c r="W28" s="1">
        <f t="shared" ref="W28:W40" si="5">V28*10/100</f>
        <v>14400</v>
      </c>
      <c r="X28" s="1">
        <f t="shared" ref="X28:X40" si="6">V28-W28</f>
        <v>129600</v>
      </c>
      <c r="Y28" s="1">
        <f t="shared" ref="Y28:Y40" si="7"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si="1"/>
        <v>0</v>
      </c>
      <c r="S29" s="1">
        <f t="shared" si="2"/>
        <v>0</v>
      </c>
      <c r="T29" s="1">
        <f t="shared" si="3"/>
        <v>0</v>
      </c>
      <c r="U29" s="1">
        <v>18000</v>
      </c>
      <c r="V29" s="1">
        <f t="shared" si="4"/>
        <v>18000</v>
      </c>
      <c r="W29" s="1">
        <f t="shared" si="5"/>
        <v>1800</v>
      </c>
      <c r="X29" s="1">
        <f t="shared" si="6"/>
        <v>16200</v>
      </c>
      <c r="Y29" s="1">
        <f t="shared" si="7"/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" right="0.7" top="0.75" bottom="0.75" header="0.3" footer="0.3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41"/>
  <sheetViews>
    <sheetView workbookViewId="0">
      <selection activeCell="D4" sqref="A1:XFD1048576"/>
    </sheetView>
  </sheetViews>
  <sheetFormatPr defaultColWidth="9" defaultRowHeight="14.4"/>
  <cols>
    <col min="1" max="1" width="16.88671875" customWidth="1"/>
    <col min="2" max="2" width="26.6640625" style="1" customWidth="1"/>
    <col min="3" max="3" width="7.109375" style="1" customWidth="1"/>
    <col min="4" max="4" width="21.33203125" customWidth="1"/>
    <col min="8" max="8" width="14.6640625" customWidth="1"/>
    <col min="9" max="9" width="12.6640625" customWidth="1"/>
    <col min="10" max="10" width="15.5546875" customWidth="1"/>
    <col min="11" max="11" width="15.33203125" customWidth="1"/>
    <col min="12" max="13" width="14.109375" customWidth="1"/>
  </cols>
  <sheetData>
    <row r="1" spans="1:24" ht="40.200000000000003" customHeight="1">
      <c r="A1" s="23" t="s">
        <v>62</v>
      </c>
      <c r="B1" s="24"/>
      <c r="C1" s="24"/>
      <c r="D1" s="24"/>
      <c r="E1" s="24"/>
      <c r="F1" s="24"/>
      <c r="G1" s="24"/>
      <c r="H1" s="2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16"/>
      <c r="B2" s="2" t="s">
        <v>1</v>
      </c>
      <c r="C2" s="2"/>
      <c r="D2" s="16" t="s">
        <v>2</v>
      </c>
      <c r="E2" s="16" t="s">
        <v>3</v>
      </c>
      <c r="F2" s="3" t="s">
        <v>4</v>
      </c>
      <c r="G2" s="16" t="s">
        <v>5</v>
      </c>
      <c r="H2" s="16" t="s">
        <v>6</v>
      </c>
    </row>
    <row r="3" spans="1:24">
      <c r="A3" s="16" t="s">
        <v>7</v>
      </c>
      <c r="B3" s="2">
        <v>4</v>
      </c>
      <c r="C3" s="2"/>
      <c r="D3" s="16">
        <v>6</v>
      </c>
      <c r="E3" s="16">
        <f>B3*D3</f>
        <v>24</v>
      </c>
      <c r="F3" s="16">
        <f>E3*1.196</f>
        <v>28.704000000000001</v>
      </c>
      <c r="G3" s="16">
        <v>3200</v>
      </c>
      <c r="H3" s="16">
        <f>F3*G3</f>
        <v>91852.800000000003</v>
      </c>
    </row>
    <row r="4" spans="1:24">
      <c r="A4" s="16" t="s">
        <v>8</v>
      </c>
      <c r="B4" s="2">
        <v>4</v>
      </c>
      <c r="C4" s="2"/>
      <c r="D4" s="16">
        <v>6</v>
      </c>
      <c r="E4" s="16">
        <f>B4*D4</f>
        <v>24</v>
      </c>
      <c r="F4" s="16">
        <f>E4*10.7639</f>
        <v>258.33359999999999</v>
      </c>
      <c r="G4" s="16">
        <v>1500</v>
      </c>
      <c r="H4" s="16">
        <f>F4*G4</f>
        <v>387500.4</v>
      </c>
    </row>
    <row r="5" spans="1:24">
      <c r="A5" t="s">
        <v>9</v>
      </c>
      <c r="F5" s="3" t="s">
        <v>10</v>
      </c>
    </row>
    <row r="7" spans="1:24">
      <c r="A7" s="16" t="s">
        <v>8</v>
      </c>
      <c r="B7" s="2">
        <f>H4</f>
        <v>387500.4</v>
      </c>
      <c r="D7" s="17" t="s">
        <v>11</v>
      </c>
      <c r="E7" s="18">
        <v>3200</v>
      </c>
    </row>
    <row r="8" spans="1:24">
      <c r="A8" s="16" t="s">
        <v>12</v>
      </c>
      <c r="B8" s="2">
        <v>5000</v>
      </c>
      <c r="D8" s="17" t="s">
        <v>13</v>
      </c>
      <c r="E8" s="18">
        <v>1500</v>
      </c>
    </row>
    <row r="9" spans="1:24" ht="28.8">
      <c r="A9" s="16" t="s">
        <v>14</v>
      </c>
      <c r="B9" s="2">
        <v>5000</v>
      </c>
      <c r="D9" s="17" t="s">
        <v>15</v>
      </c>
      <c r="E9" s="18" t="s">
        <v>16</v>
      </c>
    </row>
    <row r="10" spans="1:24">
      <c r="A10" s="16" t="s">
        <v>17</v>
      </c>
      <c r="B10" s="2">
        <v>3000</v>
      </c>
    </row>
    <row r="11" spans="1:24">
      <c r="A11" s="16" t="s">
        <v>18</v>
      </c>
      <c r="B11" s="2">
        <v>3000</v>
      </c>
    </row>
    <row r="12" spans="1:24">
      <c r="A12" s="16" t="s">
        <v>19</v>
      </c>
      <c r="B12" s="2">
        <v>2000</v>
      </c>
    </row>
    <row r="13" spans="1:24">
      <c r="A13" s="16" t="s">
        <v>6</v>
      </c>
      <c r="B13" s="2">
        <f>SUM(B7:B12)</f>
        <v>405500.4</v>
      </c>
    </row>
    <row r="14" spans="1:24">
      <c r="A14" s="19">
        <v>-0.1</v>
      </c>
      <c r="B14" s="2">
        <f>B13*10/100</f>
        <v>40550.04</v>
      </c>
      <c r="G14" s="20"/>
    </row>
    <row r="15" spans="1:24">
      <c r="A15" s="16" t="s">
        <v>20</v>
      </c>
      <c r="B15" s="2">
        <f>B13-B14</f>
        <v>364950.36</v>
      </c>
    </row>
    <row r="16" spans="1:24">
      <c r="A16" s="16" t="s">
        <v>7</v>
      </c>
      <c r="B16" s="2">
        <f>F3*G3</f>
        <v>91852.800000000003</v>
      </c>
    </row>
    <row r="17" spans="1:25">
      <c r="A17" s="16" t="s">
        <v>6</v>
      </c>
      <c r="B17" s="2">
        <f>SUM(B15:B16)</f>
        <v>456803.16</v>
      </c>
    </row>
    <row r="18" spans="1:25" ht="18">
      <c r="A18" s="16" t="s">
        <v>21</v>
      </c>
      <c r="B18" s="7">
        <f>B17/1000</f>
        <v>456.80315999999999</v>
      </c>
    </row>
    <row r="19" spans="1:25" ht="18">
      <c r="A19" s="16" t="s">
        <v>22</v>
      </c>
      <c r="B19" s="7">
        <f>B18*8/100</f>
        <v>36.544252800000002</v>
      </c>
    </row>
    <row r="20" spans="1:25" ht="18">
      <c r="A20" s="16" t="s">
        <v>23</v>
      </c>
      <c r="B20" s="7">
        <f>B18*3/100</f>
        <v>13.7040948</v>
      </c>
    </row>
    <row r="21" spans="1:25" ht="18">
      <c r="A21" s="16" t="s">
        <v>24</v>
      </c>
      <c r="B21" s="7">
        <f>B18*20/100</f>
        <v>91.360631999999995</v>
      </c>
    </row>
    <row r="22" spans="1:25" ht="18">
      <c r="A22" s="16" t="s">
        <v>25</v>
      </c>
      <c r="B22" s="7">
        <f>B18*5/100</f>
        <v>22.840157999999999</v>
      </c>
    </row>
    <row r="23" spans="1:25" ht="18">
      <c r="A23" s="16" t="s">
        <v>26</v>
      </c>
      <c r="B23" s="7">
        <f>B18*1/100</f>
        <v>4.5680316000000003</v>
      </c>
    </row>
    <row r="24" spans="1:25" ht="18">
      <c r="A24" s="16" t="s">
        <v>6</v>
      </c>
      <c r="B24" s="7">
        <f>SUM(B18:B23)</f>
        <v>625.82032919999995</v>
      </c>
    </row>
    <row r="27" spans="1:25" hidden="1">
      <c r="A27" s="16" t="s">
        <v>27</v>
      </c>
      <c r="B27" s="2" t="s">
        <v>28</v>
      </c>
      <c r="C27" s="2"/>
      <c r="D27" s="16" t="s">
        <v>29</v>
      </c>
      <c r="E27" s="16" t="s">
        <v>30</v>
      </c>
      <c r="F27" s="16"/>
      <c r="G27" s="16" t="s">
        <v>31</v>
      </c>
      <c r="H27" s="16" t="s">
        <v>32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25</v>
      </c>
      <c r="N27" s="16" t="s">
        <v>26</v>
      </c>
      <c r="O27" s="16" t="s">
        <v>6</v>
      </c>
    </row>
    <row r="28" spans="1:25" s="1" customFormat="1" ht="28.8" hidden="1">
      <c r="A28" s="2">
        <v>1</v>
      </c>
      <c r="B28" s="21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 t="shared" ref="R28:R40" si="1">G28*H28</f>
        <v>50.4</v>
      </c>
      <c r="S28" s="1">
        <f t="shared" ref="S28:S40" si="2">Q28*225</f>
        <v>25436.25</v>
      </c>
      <c r="T28" s="1">
        <f t="shared" ref="T28:T40" si="3">R28*2500</f>
        <v>126000</v>
      </c>
      <c r="U28" s="1">
        <v>18000</v>
      </c>
      <c r="V28" s="1">
        <f t="shared" ref="V28:V40" si="4">T28+U28</f>
        <v>144000</v>
      </c>
      <c r="W28" s="1">
        <f t="shared" ref="W28:W40" si="5">V28*10/100</f>
        <v>14400</v>
      </c>
      <c r="X28" s="1">
        <f t="shared" ref="X28:X40" si="6">V28-W28</f>
        <v>129600</v>
      </c>
      <c r="Y28" s="1">
        <f t="shared" ref="Y28:Y40" si="7">S28+X28</f>
        <v>155036.25</v>
      </c>
    </row>
    <row r="29" spans="1:25" s="1" customFormat="1" ht="28.8" hidden="1">
      <c r="A29" s="2">
        <v>2</v>
      </c>
      <c r="B29" s="21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si="1"/>
        <v>0</v>
      </c>
      <c r="S29" s="1">
        <f t="shared" si="2"/>
        <v>0</v>
      </c>
      <c r="T29" s="1">
        <f t="shared" si="3"/>
        <v>0</v>
      </c>
      <c r="U29" s="1">
        <v>18000</v>
      </c>
      <c r="V29" s="1">
        <f t="shared" si="4"/>
        <v>18000</v>
      </c>
      <c r="W29" s="1">
        <f t="shared" si="5"/>
        <v>1800</v>
      </c>
      <c r="X29" s="1">
        <f t="shared" si="6"/>
        <v>16200</v>
      </c>
      <c r="Y29" s="1">
        <f t="shared" si="7"/>
        <v>16200</v>
      </c>
    </row>
    <row r="30" spans="1:25" s="1" customFormat="1" ht="28.8" hidden="1">
      <c r="A30" s="2">
        <v>3</v>
      </c>
      <c r="B30" s="21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s="1" customFormat="1" ht="28.8" hidden="1">
      <c r="A31" s="2">
        <v>4</v>
      </c>
      <c r="B31" s="21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s="1" customFormat="1" ht="28.8" hidden="1">
      <c r="A32" s="2">
        <v>5</v>
      </c>
      <c r="B32" s="21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s="1" customFormat="1" ht="28.8" hidden="1">
      <c r="A33" s="2">
        <v>6</v>
      </c>
      <c r="B33" s="21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s="1" customFormat="1" ht="28.8" hidden="1">
      <c r="A34" s="2">
        <v>7</v>
      </c>
      <c r="B34" s="21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s="1" customFormat="1" ht="28.8" hidden="1">
      <c r="A35" s="2">
        <v>8</v>
      </c>
      <c r="B35" s="21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s="1" customFormat="1" ht="28.8" hidden="1">
      <c r="A36" s="2">
        <v>9</v>
      </c>
      <c r="B36" s="21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s="1" customFormat="1" ht="28.8" hidden="1">
      <c r="A37" s="2">
        <v>10</v>
      </c>
      <c r="B37" s="21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s="1" customFormat="1" hidden="1">
      <c r="A38" s="2">
        <v>11</v>
      </c>
      <c r="B38" s="21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s="1" customFormat="1" ht="28.8" hidden="1">
      <c r="A39" s="2">
        <v>12</v>
      </c>
      <c r="B39" s="21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s="1" customFormat="1" ht="28.8" hidden="1">
      <c r="A40" s="2">
        <v>13</v>
      </c>
      <c r="B40" s="21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5" right="0.75" top="1" bottom="1" header="0.5" footer="0.5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Y41"/>
  <sheetViews>
    <sheetView workbookViewId="0">
      <selection activeCell="D15" sqref="D15"/>
    </sheetView>
  </sheetViews>
  <sheetFormatPr defaultColWidth="9" defaultRowHeight="14.4"/>
  <cols>
    <col min="1" max="1" width="16.88671875" style="6" customWidth="1"/>
    <col min="2" max="2" width="26.6640625" style="6" customWidth="1"/>
    <col min="3" max="3" width="7.109375" style="6" customWidth="1"/>
    <col min="4" max="4" width="21.33203125" style="6" customWidth="1"/>
    <col min="5" max="5" width="9" style="6"/>
    <col min="6" max="6" width="9.5546875" style="6"/>
    <col min="7" max="7" width="9" style="6"/>
    <col min="8" max="8" width="14.6640625" style="6" customWidth="1"/>
    <col min="9" max="9" width="12.6640625" style="6" customWidth="1"/>
    <col min="10" max="10" width="15.5546875" style="6" customWidth="1"/>
    <col min="11" max="11" width="15.33203125" style="6" customWidth="1"/>
    <col min="12" max="13" width="14.109375" style="6" customWidth="1"/>
    <col min="14" max="18" width="9" style="6"/>
    <col min="19" max="19" width="9.5546875" style="6"/>
    <col min="20" max="24" width="9" style="6"/>
    <col min="25" max="25" width="10.5546875" style="6"/>
    <col min="26" max="16384" width="9" style="6"/>
  </cols>
  <sheetData>
    <row r="1" spans="1:24" ht="40.200000000000003" customHeight="1">
      <c r="A1" s="23" t="s">
        <v>63</v>
      </c>
      <c r="B1" s="23"/>
      <c r="C1" s="23"/>
      <c r="D1" s="23"/>
      <c r="E1" s="23"/>
      <c r="F1" s="23"/>
      <c r="G1" s="23"/>
      <c r="H1" s="23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8"/>
      <c r="B2" s="8" t="s">
        <v>1</v>
      </c>
      <c r="C2" s="8"/>
      <c r="D2" s="8" t="s">
        <v>2</v>
      </c>
      <c r="E2" s="8" t="s">
        <v>3</v>
      </c>
      <c r="F2" s="11" t="s">
        <v>4</v>
      </c>
      <c r="G2" s="8" t="s">
        <v>5</v>
      </c>
      <c r="H2" s="8" t="s">
        <v>6</v>
      </c>
    </row>
    <row r="3" spans="1:24">
      <c r="A3" s="8" t="s">
        <v>7</v>
      </c>
      <c r="B3" s="8">
        <v>11.3</v>
      </c>
      <c r="C3" s="8"/>
      <c r="D3" s="8">
        <v>5</v>
      </c>
      <c r="E3" s="8">
        <f>B3*D3</f>
        <v>56.5</v>
      </c>
      <c r="F3" s="8">
        <f>E3*1.196</f>
        <v>67.573999999999998</v>
      </c>
      <c r="G3" s="8">
        <v>3200</v>
      </c>
      <c r="H3" s="8">
        <f>F3*G3</f>
        <v>216236.79999999999</v>
      </c>
    </row>
    <row r="4" spans="1:24">
      <c r="A4" s="8" t="s">
        <v>8</v>
      </c>
      <c r="B4" s="8">
        <v>8.66</v>
      </c>
      <c r="C4" s="8"/>
      <c r="D4" s="8">
        <v>3.81</v>
      </c>
      <c r="E4" s="8">
        <f>B4*D4</f>
        <v>32.994599999999998</v>
      </c>
      <c r="F4" s="8">
        <f>E4*10.7639</f>
        <v>355.15057494000001</v>
      </c>
      <c r="G4" s="8">
        <v>1500</v>
      </c>
      <c r="H4" s="8">
        <f>F4*G4</f>
        <v>532725.86240999994</v>
      </c>
    </row>
    <row r="5" spans="1:24">
      <c r="A5" s="6" t="s">
        <v>9</v>
      </c>
      <c r="F5" s="11" t="s">
        <v>10</v>
      </c>
    </row>
    <row r="7" spans="1:24">
      <c r="A7" s="8" t="s">
        <v>8</v>
      </c>
      <c r="B7" s="8">
        <f>H4</f>
        <v>532725.86240999994</v>
      </c>
      <c r="D7" s="4" t="s">
        <v>11</v>
      </c>
      <c r="E7" s="4">
        <v>3200</v>
      </c>
    </row>
    <row r="8" spans="1:24">
      <c r="A8" s="8" t="s">
        <v>12</v>
      </c>
      <c r="B8" s="8">
        <v>5000</v>
      </c>
      <c r="D8" s="4" t="s">
        <v>13</v>
      </c>
      <c r="E8" s="4">
        <v>1500</v>
      </c>
    </row>
    <row r="9" spans="1:24" ht="28.8">
      <c r="A9" s="8" t="s">
        <v>14</v>
      </c>
      <c r="B9" s="8">
        <v>5000</v>
      </c>
      <c r="D9" s="4" t="s">
        <v>15</v>
      </c>
      <c r="E9" s="4" t="s">
        <v>16</v>
      </c>
    </row>
    <row r="10" spans="1:24">
      <c r="A10" s="8" t="s">
        <v>17</v>
      </c>
      <c r="B10" s="8">
        <v>3000</v>
      </c>
    </row>
    <row r="11" spans="1:24">
      <c r="A11" s="8" t="s">
        <v>18</v>
      </c>
      <c r="B11" s="8">
        <v>3000</v>
      </c>
    </row>
    <row r="12" spans="1:24">
      <c r="A12" s="8" t="s">
        <v>19</v>
      </c>
      <c r="B12" s="8">
        <v>2000</v>
      </c>
    </row>
    <row r="13" spans="1:24">
      <c r="A13" s="8" t="s">
        <v>6</v>
      </c>
      <c r="B13" s="8">
        <f>SUM(B7:B12)</f>
        <v>550725.86240999994</v>
      </c>
    </row>
    <row r="14" spans="1:24">
      <c r="A14" s="12">
        <v>-0.1</v>
      </c>
      <c r="B14" s="8">
        <f>B13*10/100</f>
        <v>55072.586240999997</v>
      </c>
    </row>
    <row r="15" spans="1:24">
      <c r="A15" s="8" t="s">
        <v>20</v>
      </c>
      <c r="B15" s="8">
        <f>B13-B14</f>
        <v>495653.27616900002</v>
      </c>
    </row>
    <row r="16" spans="1:24">
      <c r="A16" s="8" t="s">
        <v>7</v>
      </c>
      <c r="B16" s="8">
        <f>F3*G3</f>
        <v>216236.79999999999</v>
      </c>
    </row>
    <row r="17" spans="1:25">
      <c r="A17" s="8" t="s">
        <v>6</v>
      </c>
      <c r="B17" s="8">
        <f>SUM(B15:B16)</f>
        <v>711890.07616900001</v>
      </c>
    </row>
    <row r="18" spans="1:25" ht="18">
      <c r="A18" s="8" t="s">
        <v>21</v>
      </c>
      <c r="B18" s="13">
        <f>B17/1000</f>
        <v>711.89007616900005</v>
      </c>
    </row>
    <row r="19" spans="1:25" ht="18">
      <c r="A19" s="8" t="s">
        <v>22</v>
      </c>
      <c r="B19" s="13">
        <f>B18*8/100</f>
        <v>56.95120609352</v>
      </c>
    </row>
    <row r="20" spans="1:25" ht="18">
      <c r="A20" s="8" t="s">
        <v>23</v>
      </c>
      <c r="B20" s="13">
        <f>B18*3/100</f>
        <v>21.35670228507</v>
      </c>
    </row>
    <row r="21" spans="1:25" ht="18">
      <c r="A21" s="8" t="s">
        <v>24</v>
      </c>
      <c r="B21" s="13">
        <f>B18*20/100</f>
        <v>142.3780152338</v>
      </c>
    </row>
    <row r="22" spans="1:25" ht="18">
      <c r="A22" s="8" t="s">
        <v>25</v>
      </c>
      <c r="B22" s="13">
        <f>B18*5/100</f>
        <v>35.59450380845</v>
      </c>
    </row>
    <row r="23" spans="1:25" ht="18">
      <c r="A23" s="8" t="s">
        <v>26</v>
      </c>
      <c r="B23" s="13">
        <f>B18*1/100</f>
        <v>7.11890076169</v>
      </c>
    </row>
    <row r="24" spans="1:25" ht="18">
      <c r="A24" s="8" t="s">
        <v>6</v>
      </c>
      <c r="B24" s="13">
        <f>SUM(B18:B23)</f>
        <v>975.28940435153004</v>
      </c>
    </row>
    <row r="27" spans="1:25" hidden="1">
      <c r="A27" s="8" t="s">
        <v>27</v>
      </c>
      <c r="B27" s="8" t="s">
        <v>28</v>
      </c>
      <c r="C27" s="8"/>
      <c r="D27" s="8" t="s">
        <v>29</v>
      </c>
      <c r="E27" s="8" t="s">
        <v>30</v>
      </c>
      <c r="F27" s="8"/>
      <c r="G27" s="8" t="s">
        <v>31</v>
      </c>
      <c r="H27" s="8" t="s">
        <v>32</v>
      </c>
      <c r="I27" s="8" t="s">
        <v>21</v>
      </c>
      <c r="J27" s="8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 t="s">
        <v>6</v>
      </c>
    </row>
    <row r="28" spans="1:25" ht="28.8" hidden="1">
      <c r="A28" s="8">
        <v>1</v>
      </c>
      <c r="B28" s="8" t="s">
        <v>33</v>
      </c>
      <c r="C28" s="8"/>
      <c r="D28" s="8">
        <v>9.5</v>
      </c>
      <c r="E28" s="8">
        <v>11.9</v>
      </c>
      <c r="F28" s="8"/>
      <c r="G28" s="8">
        <v>7.2</v>
      </c>
      <c r="H28" s="8">
        <v>7</v>
      </c>
      <c r="I28" s="15">
        <f>Y28*60/10000</f>
        <v>930.21749999999997</v>
      </c>
      <c r="J28" s="15">
        <f>I28*8/100</f>
        <v>74.417400000000001</v>
      </c>
      <c r="K28" s="15">
        <f>I28*3/100</f>
        <v>27.906524999999998</v>
      </c>
      <c r="L28" s="15">
        <f>I28*20/100</f>
        <v>186.04349999999999</v>
      </c>
      <c r="M28" s="15">
        <f>I28/100*5</f>
        <v>46.510874999999999</v>
      </c>
      <c r="N28" s="15">
        <f>I28*1/100</f>
        <v>9.3021750000000001</v>
      </c>
      <c r="O28" s="15">
        <f>SUM(I28:N28)</f>
        <v>1274.3979750000001</v>
      </c>
      <c r="Q28" s="6">
        <f t="shared" ref="Q28:Q40" si="0">D28*E28</f>
        <v>113.05</v>
      </c>
      <c r="R28" s="6">
        <f t="shared" ref="R28:R40" si="1">G28*H28</f>
        <v>50.4</v>
      </c>
      <c r="S28" s="6">
        <f t="shared" ref="S28:S40" si="2">Q28*225</f>
        <v>25436.25</v>
      </c>
      <c r="T28" s="6">
        <f t="shared" ref="T28:T40" si="3">R28*2500</f>
        <v>126000</v>
      </c>
      <c r="U28" s="6">
        <v>18000</v>
      </c>
      <c r="V28" s="6">
        <f t="shared" ref="V28:V40" si="4">T28+U28</f>
        <v>144000</v>
      </c>
      <c r="W28" s="6">
        <f t="shared" ref="W28:W40" si="5">V28*10/100</f>
        <v>14400</v>
      </c>
      <c r="X28" s="6">
        <f t="shared" ref="X28:X40" si="6">V28-W28</f>
        <v>129600</v>
      </c>
      <c r="Y28" s="6">
        <f t="shared" ref="Y28:Y40" si="7">S28+X28</f>
        <v>155036.25</v>
      </c>
    </row>
    <row r="29" spans="1:25" ht="28.8" hidden="1">
      <c r="A29" s="8">
        <v>2</v>
      </c>
      <c r="B29" s="8" t="s">
        <v>34</v>
      </c>
      <c r="C29" s="8"/>
      <c r="D29" s="8"/>
      <c r="E29" s="8"/>
      <c r="F29" s="8"/>
      <c r="G29" s="8"/>
      <c r="H29" s="8"/>
      <c r="I29" s="15"/>
      <c r="J29" s="15"/>
      <c r="K29" s="15"/>
      <c r="L29" s="15"/>
      <c r="M29" s="15"/>
      <c r="N29" s="15"/>
      <c r="O29" s="15"/>
      <c r="Q29" s="6">
        <f t="shared" si="0"/>
        <v>0</v>
      </c>
      <c r="R29" s="6">
        <f t="shared" si="1"/>
        <v>0</v>
      </c>
      <c r="S29" s="6">
        <f t="shared" si="2"/>
        <v>0</v>
      </c>
      <c r="T29" s="6">
        <f t="shared" si="3"/>
        <v>0</v>
      </c>
      <c r="U29" s="6">
        <v>18000</v>
      </c>
      <c r="V29" s="6">
        <f t="shared" si="4"/>
        <v>18000</v>
      </c>
      <c r="W29" s="6">
        <f t="shared" si="5"/>
        <v>1800</v>
      </c>
      <c r="X29" s="6">
        <f t="shared" si="6"/>
        <v>16200</v>
      </c>
      <c r="Y29" s="6">
        <f t="shared" si="7"/>
        <v>16200</v>
      </c>
    </row>
    <row r="30" spans="1:25" ht="28.8" hidden="1">
      <c r="A30" s="8">
        <v>3</v>
      </c>
      <c r="B30" s="8" t="s">
        <v>35</v>
      </c>
      <c r="C30" s="8"/>
      <c r="D30" s="8"/>
      <c r="E30" s="8"/>
      <c r="F30" s="8"/>
      <c r="G30" s="8"/>
      <c r="H30" s="8"/>
      <c r="I30" s="15"/>
      <c r="J30" s="15"/>
      <c r="K30" s="15"/>
      <c r="L30" s="15"/>
      <c r="M30" s="15"/>
      <c r="N30" s="15"/>
      <c r="O30" s="15"/>
      <c r="Q30" s="6">
        <f t="shared" si="0"/>
        <v>0</v>
      </c>
      <c r="R30" s="6">
        <f t="shared" si="1"/>
        <v>0</v>
      </c>
      <c r="S30" s="6">
        <f t="shared" si="2"/>
        <v>0</v>
      </c>
      <c r="T30" s="6">
        <f t="shared" si="3"/>
        <v>0</v>
      </c>
      <c r="U30" s="6">
        <v>18000</v>
      </c>
      <c r="V30" s="6">
        <f t="shared" si="4"/>
        <v>18000</v>
      </c>
      <c r="W30" s="6">
        <f t="shared" si="5"/>
        <v>1800</v>
      </c>
      <c r="X30" s="6">
        <f t="shared" si="6"/>
        <v>16200</v>
      </c>
      <c r="Y30" s="6">
        <f t="shared" si="7"/>
        <v>16200</v>
      </c>
    </row>
    <row r="31" spans="1:25" ht="28.8" hidden="1">
      <c r="A31" s="8">
        <v>4</v>
      </c>
      <c r="B31" s="8" t="s">
        <v>36</v>
      </c>
      <c r="C31" s="8"/>
      <c r="D31" s="8"/>
      <c r="E31" s="8"/>
      <c r="F31" s="8"/>
      <c r="G31" s="8"/>
      <c r="H31" s="8"/>
      <c r="I31" s="15"/>
      <c r="J31" s="15"/>
      <c r="K31" s="15"/>
      <c r="L31" s="15"/>
      <c r="M31" s="15"/>
      <c r="N31" s="15"/>
      <c r="O31" s="15"/>
      <c r="Q31" s="6">
        <f t="shared" si="0"/>
        <v>0</v>
      </c>
      <c r="R31" s="6">
        <f t="shared" si="1"/>
        <v>0</v>
      </c>
      <c r="S31" s="6">
        <f t="shared" si="2"/>
        <v>0</v>
      </c>
      <c r="T31" s="6">
        <f t="shared" si="3"/>
        <v>0</v>
      </c>
      <c r="U31" s="6">
        <v>18000</v>
      </c>
      <c r="V31" s="6">
        <f t="shared" si="4"/>
        <v>18000</v>
      </c>
      <c r="W31" s="6">
        <f t="shared" si="5"/>
        <v>1800</v>
      </c>
      <c r="X31" s="6">
        <f t="shared" si="6"/>
        <v>16200</v>
      </c>
      <c r="Y31" s="6">
        <f t="shared" si="7"/>
        <v>16200</v>
      </c>
    </row>
    <row r="32" spans="1:25" ht="28.8" hidden="1">
      <c r="A32" s="8">
        <v>5</v>
      </c>
      <c r="B32" s="8" t="s">
        <v>37</v>
      </c>
      <c r="C32" s="8"/>
      <c r="D32" s="8"/>
      <c r="E32" s="8"/>
      <c r="F32" s="8"/>
      <c r="G32" s="8"/>
      <c r="H32" s="8"/>
      <c r="I32" s="15"/>
      <c r="J32" s="15"/>
      <c r="K32" s="15"/>
      <c r="L32" s="15"/>
      <c r="M32" s="15"/>
      <c r="N32" s="15"/>
      <c r="O32" s="15"/>
      <c r="Q32" s="6">
        <f t="shared" si="0"/>
        <v>0</v>
      </c>
      <c r="R32" s="6">
        <f t="shared" si="1"/>
        <v>0</v>
      </c>
      <c r="S32" s="6">
        <f t="shared" si="2"/>
        <v>0</v>
      </c>
      <c r="T32" s="6">
        <f t="shared" si="3"/>
        <v>0</v>
      </c>
      <c r="U32" s="6">
        <v>18000</v>
      </c>
      <c r="V32" s="6">
        <f t="shared" si="4"/>
        <v>18000</v>
      </c>
      <c r="W32" s="6">
        <f t="shared" si="5"/>
        <v>1800</v>
      </c>
      <c r="X32" s="6">
        <f t="shared" si="6"/>
        <v>16200</v>
      </c>
      <c r="Y32" s="6">
        <f t="shared" si="7"/>
        <v>16200</v>
      </c>
    </row>
    <row r="33" spans="1:25" ht="28.8" hidden="1">
      <c r="A33" s="8">
        <v>6</v>
      </c>
      <c r="B33" s="8" t="s">
        <v>38</v>
      </c>
      <c r="C33" s="8"/>
      <c r="D33" s="8"/>
      <c r="E33" s="8"/>
      <c r="F33" s="8"/>
      <c r="G33" s="8"/>
      <c r="H33" s="8"/>
      <c r="I33" s="15"/>
      <c r="J33" s="15"/>
      <c r="K33" s="15"/>
      <c r="L33" s="15"/>
      <c r="M33" s="15"/>
      <c r="N33" s="15"/>
      <c r="O33" s="15"/>
      <c r="Q33" s="6">
        <f t="shared" si="0"/>
        <v>0</v>
      </c>
      <c r="R33" s="6">
        <f t="shared" si="1"/>
        <v>0</v>
      </c>
      <c r="S33" s="6">
        <f t="shared" si="2"/>
        <v>0</v>
      </c>
      <c r="T33" s="6">
        <f t="shared" si="3"/>
        <v>0</v>
      </c>
      <c r="U33" s="6">
        <v>18000</v>
      </c>
      <c r="V33" s="6">
        <f t="shared" si="4"/>
        <v>18000</v>
      </c>
      <c r="W33" s="6">
        <f t="shared" si="5"/>
        <v>1800</v>
      </c>
      <c r="X33" s="6">
        <f t="shared" si="6"/>
        <v>16200</v>
      </c>
      <c r="Y33" s="6">
        <f t="shared" si="7"/>
        <v>16200</v>
      </c>
    </row>
    <row r="34" spans="1:25" ht="28.8" hidden="1">
      <c r="A34" s="8">
        <v>7</v>
      </c>
      <c r="B34" s="8" t="s">
        <v>39</v>
      </c>
      <c r="C34" s="8"/>
      <c r="D34" s="8"/>
      <c r="E34" s="8"/>
      <c r="F34" s="8"/>
      <c r="G34" s="8"/>
      <c r="H34" s="8"/>
      <c r="I34" s="15"/>
      <c r="J34" s="15"/>
      <c r="K34" s="15"/>
      <c r="L34" s="15"/>
      <c r="M34" s="15"/>
      <c r="N34" s="15"/>
      <c r="O34" s="15"/>
      <c r="Q34" s="6">
        <f t="shared" si="0"/>
        <v>0</v>
      </c>
      <c r="R34" s="6">
        <f t="shared" si="1"/>
        <v>0</v>
      </c>
      <c r="S34" s="6">
        <f t="shared" si="2"/>
        <v>0</v>
      </c>
      <c r="T34" s="6">
        <f t="shared" si="3"/>
        <v>0</v>
      </c>
      <c r="U34" s="6">
        <v>18000</v>
      </c>
      <c r="V34" s="6">
        <f t="shared" si="4"/>
        <v>18000</v>
      </c>
      <c r="W34" s="6">
        <f t="shared" si="5"/>
        <v>1800</v>
      </c>
      <c r="X34" s="6">
        <f t="shared" si="6"/>
        <v>16200</v>
      </c>
      <c r="Y34" s="6">
        <f t="shared" si="7"/>
        <v>16200</v>
      </c>
    </row>
    <row r="35" spans="1:25" ht="28.8" hidden="1">
      <c r="A35" s="8">
        <v>8</v>
      </c>
      <c r="B35" s="8" t="s">
        <v>40</v>
      </c>
      <c r="C35" s="8"/>
      <c r="D35" s="8"/>
      <c r="E35" s="8"/>
      <c r="F35" s="8"/>
      <c r="G35" s="8"/>
      <c r="H35" s="8"/>
      <c r="I35" s="15"/>
      <c r="J35" s="15"/>
      <c r="K35" s="15"/>
      <c r="L35" s="15"/>
      <c r="M35" s="15"/>
      <c r="N35" s="15"/>
      <c r="O35" s="15"/>
      <c r="Q35" s="6">
        <f t="shared" si="0"/>
        <v>0</v>
      </c>
      <c r="R35" s="6">
        <f t="shared" si="1"/>
        <v>0</v>
      </c>
      <c r="S35" s="6">
        <f t="shared" si="2"/>
        <v>0</v>
      </c>
      <c r="T35" s="6">
        <f t="shared" si="3"/>
        <v>0</v>
      </c>
      <c r="U35" s="6">
        <v>18000</v>
      </c>
      <c r="V35" s="6">
        <f t="shared" si="4"/>
        <v>18000</v>
      </c>
      <c r="W35" s="6">
        <f t="shared" si="5"/>
        <v>1800</v>
      </c>
      <c r="X35" s="6">
        <f t="shared" si="6"/>
        <v>16200</v>
      </c>
      <c r="Y35" s="6">
        <f t="shared" si="7"/>
        <v>16200</v>
      </c>
    </row>
    <row r="36" spans="1:25" ht="28.8" hidden="1">
      <c r="A36" s="8">
        <v>9</v>
      </c>
      <c r="B36" s="8" t="s">
        <v>41</v>
      </c>
      <c r="C36" s="8"/>
      <c r="D36" s="8"/>
      <c r="E36" s="8"/>
      <c r="F36" s="8"/>
      <c r="G36" s="8"/>
      <c r="H36" s="8"/>
      <c r="I36" s="15"/>
      <c r="J36" s="15"/>
      <c r="K36" s="15"/>
      <c r="L36" s="15"/>
      <c r="M36" s="15"/>
      <c r="N36" s="15"/>
      <c r="O36" s="15"/>
      <c r="Q36" s="6">
        <f t="shared" si="0"/>
        <v>0</v>
      </c>
      <c r="R36" s="6">
        <f t="shared" si="1"/>
        <v>0</v>
      </c>
      <c r="S36" s="6">
        <f t="shared" si="2"/>
        <v>0</v>
      </c>
      <c r="T36" s="6">
        <f t="shared" si="3"/>
        <v>0</v>
      </c>
      <c r="U36" s="6">
        <v>18000</v>
      </c>
      <c r="V36" s="6">
        <f t="shared" si="4"/>
        <v>18000</v>
      </c>
      <c r="W36" s="6">
        <f t="shared" si="5"/>
        <v>1800</v>
      </c>
      <c r="X36" s="6">
        <f t="shared" si="6"/>
        <v>16200</v>
      </c>
      <c r="Y36" s="6">
        <f t="shared" si="7"/>
        <v>16200</v>
      </c>
    </row>
    <row r="37" spans="1:25" ht="28.8" hidden="1">
      <c r="A37" s="8">
        <v>10</v>
      </c>
      <c r="B37" s="8" t="s">
        <v>42</v>
      </c>
      <c r="C37" s="8"/>
      <c r="D37" s="8"/>
      <c r="E37" s="8"/>
      <c r="F37" s="8"/>
      <c r="G37" s="8"/>
      <c r="H37" s="8"/>
      <c r="I37" s="15"/>
      <c r="J37" s="15"/>
      <c r="K37" s="15"/>
      <c r="L37" s="15"/>
      <c r="M37" s="15"/>
      <c r="N37" s="15"/>
      <c r="O37" s="15"/>
      <c r="Q37" s="6">
        <f t="shared" si="0"/>
        <v>0</v>
      </c>
      <c r="R37" s="6">
        <f t="shared" si="1"/>
        <v>0</v>
      </c>
      <c r="S37" s="6">
        <f t="shared" si="2"/>
        <v>0</v>
      </c>
      <c r="T37" s="6">
        <f t="shared" si="3"/>
        <v>0</v>
      </c>
      <c r="U37" s="6">
        <v>18000</v>
      </c>
      <c r="V37" s="6">
        <f t="shared" si="4"/>
        <v>18000</v>
      </c>
      <c r="W37" s="6">
        <f t="shared" si="5"/>
        <v>1800</v>
      </c>
      <c r="X37" s="6">
        <f t="shared" si="6"/>
        <v>16200</v>
      </c>
      <c r="Y37" s="6">
        <f t="shared" si="7"/>
        <v>16200</v>
      </c>
    </row>
    <row r="38" spans="1:25" hidden="1">
      <c r="A38" s="8">
        <v>11</v>
      </c>
      <c r="B38" s="8" t="s">
        <v>43</v>
      </c>
      <c r="C38" s="8"/>
      <c r="D38" s="8"/>
      <c r="E38" s="8"/>
      <c r="F38" s="8"/>
      <c r="G38" s="8"/>
      <c r="H38" s="8"/>
      <c r="I38" s="15"/>
      <c r="J38" s="15"/>
      <c r="K38" s="15"/>
      <c r="L38" s="15"/>
      <c r="M38" s="15"/>
      <c r="N38" s="15"/>
      <c r="O38" s="15"/>
      <c r="Q38" s="6">
        <f t="shared" si="0"/>
        <v>0</v>
      </c>
      <c r="R38" s="6">
        <f t="shared" si="1"/>
        <v>0</v>
      </c>
      <c r="S38" s="6">
        <f t="shared" si="2"/>
        <v>0</v>
      </c>
      <c r="T38" s="6">
        <f t="shared" si="3"/>
        <v>0</v>
      </c>
      <c r="U38" s="6">
        <v>18000</v>
      </c>
      <c r="V38" s="6">
        <f t="shared" si="4"/>
        <v>18000</v>
      </c>
      <c r="W38" s="6">
        <f t="shared" si="5"/>
        <v>1800</v>
      </c>
      <c r="X38" s="6">
        <f t="shared" si="6"/>
        <v>16200</v>
      </c>
      <c r="Y38" s="6">
        <f t="shared" si="7"/>
        <v>16200</v>
      </c>
    </row>
    <row r="39" spans="1:25" ht="28.8" hidden="1">
      <c r="A39" s="8">
        <v>12</v>
      </c>
      <c r="B39" s="8" t="s">
        <v>44</v>
      </c>
      <c r="C39" s="8"/>
      <c r="D39" s="8"/>
      <c r="E39" s="8"/>
      <c r="F39" s="8"/>
      <c r="G39" s="8"/>
      <c r="H39" s="8"/>
      <c r="I39" s="15"/>
      <c r="J39" s="15"/>
      <c r="K39" s="15"/>
      <c r="L39" s="15"/>
      <c r="M39" s="15"/>
      <c r="N39" s="15"/>
      <c r="O39" s="15"/>
      <c r="Q39" s="6">
        <f t="shared" si="0"/>
        <v>0</v>
      </c>
      <c r="R39" s="6">
        <f t="shared" si="1"/>
        <v>0</v>
      </c>
      <c r="S39" s="6">
        <f t="shared" si="2"/>
        <v>0</v>
      </c>
      <c r="T39" s="6">
        <f t="shared" si="3"/>
        <v>0</v>
      </c>
      <c r="U39" s="6">
        <v>18000</v>
      </c>
      <c r="V39" s="6">
        <f t="shared" si="4"/>
        <v>18000</v>
      </c>
      <c r="W39" s="6">
        <f t="shared" si="5"/>
        <v>1800</v>
      </c>
      <c r="X39" s="6">
        <f t="shared" si="6"/>
        <v>16200</v>
      </c>
      <c r="Y39" s="6">
        <f t="shared" si="7"/>
        <v>16200</v>
      </c>
    </row>
    <row r="40" spans="1:25" ht="28.8" hidden="1">
      <c r="A40" s="8">
        <v>13</v>
      </c>
      <c r="B40" s="8" t="s">
        <v>45</v>
      </c>
      <c r="C40" s="8"/>
      <c r="D40" s="8"/>
      <c r="E40" s="8"/>
      <c r="F40" s="8"/>
      <c r="G40" s="8"/>
      <c r="H40" s="8"/>
      <c r="I40" s="15"/>
      <c r="J40" s="15"/>
      <c r="K40" s="15"/>
      <c r="L40" s="15"/>
      <c r="M40" s="15"/>
      <c r="N40" s="15"/>
      <c r="O40" s="15"/>
      <c r="Q40" s="6">
        <f t="shared" si="0"/>
        <v>0</v>
      </c>
      <c r="R40" s="6">
        <f t="shared" si="1"/>
        <v>0</v>
      </c>
      <c r="S40" s="6">
        <f t="shared" si="2"/>
        <v>0</v>
      </c>
      <c r="T40" s="6">
        <f t="shared" si="3"/>
        <v>0</v>
      </c>
      <c r="U40" s="6">
        <v>18000</v>
      </c>
      <c r="V40" s="6">
        <f t="shared" si="4"/>
        <v>18000</v>
      </c>
      <c r="W40" s="6">
        <f t="shared" si="5"/>
        <v>1800</v>
      </c>
      <c r="X40" s="6">
        <f t="shared" si="6"/>
        <v>16200</v>
      </c>
      <c r="Y40" s="6">
        <f t="shared" si="7"/>
        <v>16200</v>
      </c>
    </row>
    <row r="41" spans="1:25" hidden="1"/>
  </sheetData>
  <mergeCells count="1">
    <mergeCell ref="A1:H1"/>
  </mergeCells>
  <pageMargins left="0.75" right="0.75" top="1" bottom="1" header="0.5" footer="0.5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41"/>
  <sheetViews>
    <sheetView workbookViewId="0">
      <selection activeCell="E19" sqref="E19"/>
    </sheetView>
  </sheetViews>
  <sheetFormatPr defaultColWidth="9" defaultRowHeight="14.4"/>
  <cols>
    <col min="1" max="1" width="16.88671875" style="6" customWidth="1"/>
    <col min="2" max="2" width="26.6640625" style="6" customWidth="1"/>
    <col min="3" max="3" width="7.109375" style="6" customWidth="1"/>
    <col min="4" max="4" width="21.33203125" style="6" customWidth="1"/>
    <col min="5" max="5" width="9" style="6"/>
    <col min="6" max="6" width="9.5546875" style="6"/>
    <col min="7" max="7" width="9" style="6"/>
    <col min="8" max="8" width="14.6640625" style="6" customWidth="1"/>
    <col min="9" max="9" width="12.6640625" style="6" customWidth="1"/>
    <col min="10" max="10" width="15.5546875" style="6" customWidth="1"/>
    <col min="11" max="11" width="15.33203125" style="6" customWidth="1"/>
    <col min="12" max="13" width="14.109375" style="6" customWidth="1"/>
    <col min="14" max="18" width="9" style="6"/>
    <col min="19" max="19" width="9.5546875" style="6"/>
    <col min="20" max="24" width="9" style="6"/>
    <col min="25" max="25" width="10.5546875" style="6"/>
    <col min="26" max="16384" width="9" style="6"/>
  </cols>
  <sheetData>
    <row r="1" spans="1:24" ht="40.200000000000003" customHeight="1">
      <c r="A1" s="23" t="s">
        <v>64</v>
      </c>
      <c r="B1" s="23"/>
      <c r="C1" s="23"/>
      <c r="D1" s="23"/>
      <c r="E1" s="23"/>
      <c r="F1" s="23"/>
      <c r="G1" s="23"/>
      <c r="H1" s="23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8"/>
      <c r="B2" s="8" t="s">
        <v>1</v>
      </c>
      <c r="C2" s="8"/>
      <c r="D2" s="8" t="s">
        <v>2</v>
      </c>
      <c r="E2" s="8" t="s">
        <v>3</v>
      </c>
      <c r="F2" s="11" t="s">
        <v>4</v>
      </c>
      <c r="G2" s="8" t="s">
        <v>5</v>
      </c>
      <c r="H2" s="8" t="s">
        <v>6</v>
      </c>
    </row>
    <row r="3" spans="1:24">
      <c r="A3" s="8" t="s">
        <v>7</v>
      </c>
      <c r="B3" s="8">
        <v>7</v>
      </c>
      <c r="C3" s="8"/>
      <c r="D3" s="8">
        <v>11</v>
      </c>
      <c r="E3" s="8">
        <f>B3*D3</f>
        <v>77</v>
      </c>
      <c r="F3" s="8">
        <f>E3*1.196</f>
        <v>92.091999999999999</v>
      </c>
      <c r="G3" s="8">
        <v>3200</v>
      </c>
      <c r="H3" s="8">
        <f>F3*G3</f>
        <v>294694.40000000002</v>
      </c>
    </row>
    <row r="4" spans="1:24">
      <c r="A4" s="8" t="s">
        <v>8</v>
      </c>
      <c r="B4" s="8">
        <v>5</v>
      </c>
      <c r="C4" s="8"/>
      <c r="D4" s="8">
        <v>9</v>
      </c>
      <c r="E4" s="8">
        <f>B4*D4</f>
        <v>45</v>
      </c>
      <c r="F4" s="8">
        <f>E4*10.7639</f>
        <v>484.37549999999999</v>
      </c>
      <c r="G4" s="8">
        <v>1500</v>
      </c>
      <c r="H4" s="8">
        <f>F4*G4</f>
        <v>726563.25</v>
      </c>
    </row>
    <row r="5" spans="1:24">
      <c r="A5" s="6" t="s">
        <v>9</v>
      </c>
      <c r="F5" s="11" t="s">
        <v>10</v>
      </c>
    </row>
    <row r="7" spans="1:24">
      <c r="A7" s="8" t="s">
        <v>8</v>
      </c>
      <c r="B7" s="8">
        <f>H4</f>
        <v>726563.25</v>
      </c>
      <c r="D7" s="4" t="s">
        <v>11</v>
      </c>
      <c r="E7" s="4">
        <v>3200</v>
      </c>
    </row>
    <row r="8" spans="1:24">
      <c r="A8" s="8" t="s">
        <v>12</v>
      </c>
      <c r="B8" s="8">
        <v>5000</v>
      </c>
      <c r="D8" s="4" t="s">
        <v>13</v>
      </c>
      <c r="E8" s="4">
        <v>1500</v>
      </c>
    </row>
    <row r="9" spans="1:24" ht="28.8">
      <c r="A9" s="8" t="s">
        <v>14</v>
      </c>
      <c r="B9" s="8">
        <v>5000</v>
      </c>
      <c r="D9" s="4" t="s">
        <v>15</v>
      </c>
      <c r="E9" s="4" t="s">
        <v>16</v>
      </c>
    </row>
    <row r="10" spans="1:24">
      <c r="A10" s="8" t="s">
        <v>17</v>
      </c>
      <c r="B10" s="8">
        <v>3000</v>
      </c>
    </row>
    <row r="11" spans="1:24">
      <c r="A11" s="8" t="s">
        <v>18</v>
      </c>
      <c r="B11" s="8">
        <v>3000</v>
      </c>
    </row>
    <row r="12" spans="1:24">
      <c r="A12" s="8" t="s">
        <v>19</v>
      </c>
      <c r="B12" s="8">
        <v>2000</v>
      </c>
    </row>
    <row r="13" spans="1:24">
      <c r="A13" s="8" t="s">
        <v>6</v>
      </c>
      <c r="B13" s="8">
        <f>SUM(B7:B12)</f>
        <v>744563.25</v>
      </c>
    </row>
    <row r="14" spans="1:24">
      <c r="A14" s="12">
        <v>-0.1</v>
      </c>
      <c r="B14" s="8">
        <f>B13*10/100</f>
        <v>74456.324999999997</v>
      </c>
    </row>
    <row r="15" spans="1:24">
      <c r="A15" s="8" t="s">
        <v>20</v>
      </c>
      <c r="B15" s="8">
        <f>B13-B14</f>
        <v>670106.92500000005</v>
      </c>
    </row>
    <row r="16" spans="1:24">
      <c r="A16" s="8" t="s">
        <v>7</v>
      </c>
      <c r="B16" s="8">
        <f>F3*G3</f>
        <v>294694.40000000002</v>
      </c>
    </row>
    <row r="17" spans="1:25">
      <c r="A17" s="8" t="s">
        <v>6</v>
      </c>
      <c r="B17" s="8">
        <f>SUM(B15:B16)</f>
        <v>964801.32499999995</v>
      </c>
    </row>
    <row r="18" spans="1:25" ht="18">
      <c r="A18" s="8" t="s">
        <v>21</v>
      </c>
      <c r="B18" s="13">
        <f>B17/1000</f>
        <v>964.80132500000002</v>
      </c>
    </row>
    <row r="19" spans="1:25" ht="18">
      <c r="A19" s="8" t="s">
        <v>22</v>
      </c>
      <c r="B19" s="13">
        <f>B18*8/100</f>
        <v>77.184106</v>
      </c>
    </row>
    <row r="20" spans="1:25" ht="18">
      <c r="A20" s="8" t="s">
        <v>23</v>
      </c>
      <c r="B20" s="13">
        <f>B18*3/100</f>
        <v>28.944039750000002</v>
      </c>
    </row>
    <row r="21" spans="1:25" ht="18">
      <c r="A21" s="8" t="s">
        <v>24</v>
      </c>
      <c r="B21" s="13">
        <f>B18*20/100</f>
        <v>192.96026499999999</v>
      </c>
    </row>
    <row r="22" spans="1:25" ht="18">
      <c r="A22" s="8" t="s">
        <v>25</v>
      </c>
      <c r="B22" s="13">
        <f>B18*5/100</f>
        <v>48.240066249999998</v>
      </c>
    </row>
    <row r="23" spans="1:25" ht="18">
      <c r="A23" s="8" t="s">
        <v>26</v>
      </c>
      <c r="B23" s="13">
        <f>B18*1/100</f>
        <v>9.64801325</v>
      </c>
    </row>
    <row r="24" spans="1:25" ht="18">
      <c r="A24" s="8" t="s">
        <v>6</v>
      </c>
      <c r="B24" s="13">
        <f>SUM(B18:B23)</f>
        <v>1321.77781525</v>
      </c>
    </row>
    <row r="27" spans="1:25" hidden="1">
      <c r="A27" s="8" t="s">
        <v>27</v>
      </c>
      <c r="B27" s="8" t="s">
        <v>28</v>
      </c>
      <c r="C27" s="8"/>
      <c r="D27" s="8" t="s">
        <v>29</v>
      </c>
      <c r="E27" s="8" t="s">
        <v>30</v>
      </c>
      <c r="F27" s="8"/>
      <c r="G27" s="8" t="s">
        <v>31</v>
      </c>
      <c r="H27" s="8" t="s">
        <v>32</v>
      </c>
      <c r="I27" s="8" t="s">
        <v>21</v>
      </c>
      <c r="J27" s="8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 t="s">
        <v>6</v>
      </c>
    </row>
    <row r="28" spans="1:25" ht="28.8" hidden="1">
      <c r="A28" s="8">
        <v>1</v>
      </c>
      <c r="B28" s="8" t="s">
        <v>33</v>
      </c>
      <c r="C28" s="8"/>
      <c r="D28" s="8">
        <v>9.5</v>
      </c>
      <c r="E28" s="8">
        <v>11.9</v>
      </c>
      <c r="F28" s="8"/>
      <c r="G28" s="8">
        <v>7.2</v>
      </c>
      <c r="H28" s="8">
        <v>7</v>
      </c>
      <c r="I28" s="15">
        <f>Y28*60/10000</f>
        <v>930.21749999999997</v>
      </c>
      <c r="J28" s="15">
        <f>I28*8/100</f>
        <v>74.417400000000001</v>
      </c>
      <c r="K28" s="15">
        <f>I28*3/100</f>
        <v>27.906524999999998</v>
      </c>
      <c r="L28" s="15">
        <f>I28*20/100</f>
        <v>186.04349999999999</v>
      </c>
      <c r="M28" s="15">
        <f>I28/100*5</f>
        <v>46.510874999999999</v>
      </c>
      <c r="N28" s="15">
        <f>I28*1/100</f>
        <v>9.3021750000000001</v>
      </c>
      <c r="O28" s="15">
        <f>SUM(I28:N28)</f>
        <v>1274.3979750000001</v>
      </c>
      <c r="Q28" s="6">
        <f t="shared" ref="Q28:Q40" si="0">D28*E28</f>
        <v>113.05</v>
      </c>
      <c r="R28" s="6">
        <f t="shared" ref="R28:R40" si="1">G28*H28</f>
        <v>50.4</v>
      </c>
      <c r="S28" s="6">
        <f t="shared" ref="S28:S40" si="2">Q28*225</f>
        <v>25436.25</v>
      </c>
      <c r="T28" s="6">
        <f t="shared" ref="T28:T40" si="3">R28*2500</f>
        <v>126000</v>
      </c>
      <c r="U28" s="6">
        <v>18000</v>
      </c>
      <c r="V28" s="6">
        <f t="shared" ref="V28:V40" si="4">T28+U28</f>
        <v>144000</v>
      </c>
      <c r="W28" s="6">
        <f t="shared" ref="W28:W40" si="5">V28*10/100</f>
        <v>14400</v>
      </c>
      <c r="X28" s="6">
        <f t="shared" ref="X28:X40" si="6">V28-W28</f>
        <v>129600</v>
      </c>
      <c r="Y28" s="6">
        <f t="shared" ref="Y28:Y40" si="7">S28+X28</f>
        <v>155036.25</v>
      </c>
    </row>
    <row r="29" spans="1:25" ht="28.8" hidden="1">
      <c r="A29" s="8">
        <v>2</v>
      </c>
      <c r="B29" s="8" t="s">
        <v>34</v>
      </c>
      <c r="C29" s="8"/>
      <c r="D29" s="8"/>
      <c r="E29" s="8"/>
      <c r="F29" s="8"/>
      <c r="G29" s="8"/>
      <c r="H29" s="8"/>
      <c r="I29" s="15"/>
      <c r="J29" s="15"/>
      <c r="K29" s="15"/>
      <c r="L29" s="15"/>
      <c r="M29" s="15"/>
      <c r="N29" s="15"/>
      <c r="O29" s="15"/>
      <c r="Q29" s="6">
        <f t="shared" si="0"/>
        <v>0</v>
      </c>
      <c r="R29" s="6">
        <f t="shared" si="1"/>
        <v>0</v>
      </c>
      <c r="S29" s="6">
        <f t="shared" si="2"/>
        <v>0</v>
      </c>
      <c r="T29" s="6">
        <f t="shared" si="3"/>
        <v>0</v>
      </c>
      <c r="U29" s="6">
        <v>18000</v>
      </c>
      <c r="V29" s="6">
        <f t="shared" si="4"/>
        <v>18000</v>
      </c>
      <c r="W29" s="6">
        <f t="shared" si="5"/>
        <v>1800</v>
      </c>
      <c r="X29" s="6">
        <f t="shared" si="6"/>
        <v>16200</v>
      </c>
      <c r="Y29" s="6">
        <f t="shared" si="7"/>
        <v>16200</v>
      </c>
    </row>
    <row r="30" spans="1:25" ht="28.8" hidden="1">
      <c r="A30" s="8">
        <v>3</v>
      </c>
      <c r="B30" s="8" t="s">
        <v>35</v>
      </c>
      <c r="C30" s="8"/>
      <c r="D30" s="8"/>
      <c r="E30" s="8"/>
      <c r="F30" s="8"/>
      <c r="G30" s="8"/>
      <c r="H30" s="8"/>
      <c r="I30" s="15"/>
      <c r="J30" s="15"/>
      <c r="K30" s="15"/>
      <c r="L30" s="15"/>
      <c r="M30" s="15"/>
      <c r="N30" s="15"/>
      <c r="O30" s="15"/>
      <c r="Q30" s="6">
        <f t="shared" si="0"/>
        <v>0</v>
      </c>
      <c r="R30" s="6">
        <f t="shared" si="1"/>
        <v>0</v>
      </c>
      <c r="S30" s="6">
        <f t="shared" si="2"/>
        <v>0</v>
      </c>
      <c r="T30" s="6">
        <f t="shared" si="3"/>
        <v>0</v>
      </c>
      <c r="U30" s="6">
        <v>18000</v>
      </c>
      <c r="V30" s="6">
        <f t="shared" si="4"/>
        <v>18000</v>
      </c>
      <c r="W30" s="6">
        <f t="shared" si="5"/>
        <v>1800</v>
      </c>
      <c r="X30" s="6">
        <f t="shared" si="6"/>
        <v>16200</v>
      </c>
      <c r="Y30" s="6">
        <f t="shared" si="7"/>
        <v>16200</v>
      </c>
    </row>
    <row r="31" spans="1:25" ht="28.8" hidden="1">
      <c r="A31" s="8">
        <v>4</v>
      </c>
      <c r="B31" s="8" t="s">
        <v>36</v>
      </c>
      <c r="C31" s="8"/>
      <c r="D31" s="8"/>
      <c r="E31" s="8"/>
      <c r="F31" s="8"/>
      <c r="G31" s="8"/>
      <c r="H31" s="8"/>
      <c r="I31" s="15"/>
      <c r="J31" s="15"/>
      <c r="K31" s="15"/>
      <c r="L31" s="15"/>
      <c r="M31" s="15"/>
      <c r="N31" s="15"/>
      <c r="O31" s="15"/>
      <c r="Q31" s="6">
        <f t="shared" si="0"/>
        <v>0</v>
      </c>
      <c r="R31" s="6">
        <f t="shared" si="1"/>
        <v>0</v>
      </c>
      <c r="S31" s="6">
        <f t="shared" si="2"/>
        <v>0</v>
      </c>
      <c r="T31" s="6">
        <f t="shared" si="3"/>
        <v>0</v>
      </c>
      <c r="U31" s="6">
        <v>18000</v>
      </c>
      <c r="V31" s="6">
        <f t="shared" si="4"/>
        <v>18000</v>
      </c>
      <c r="W31" s="6">
        <f t="shared" si="5"/>
        <v>1800</v>
      </c>
      <c r="X31" s="6">
        <f t="shared" si="6"/>
        <v>16200</v>
      </c>
      <c r="Y31" s="6">
        <f t="shared" si="7"/>
        <v>16200</v>
      </c>
    </row>
    <row r="32" spans="1:25" ht="28.8" hidden="1">
      <c r="A32" s="8">
        <v>5</v>
      </c>
      <c r="B32" s="8" t="s">
        <v>37</v>
      </c>
      <c r="C32" s="8"/>
      <c r="D32" s="8"/>
      <c r="E32" s="8"/>
      <c r="F32" s="8"/>
      <c r="G32" s="8"/>
      <c r="H32" s="8"/>
      <c r="I32" s="15"/>
      <c r="J32" s="15"/>
      <c r="K32" s="15"/>
      <c r="L32" s="15"/>
      <c r="M32" s="15"/>
      <c r="N32" s="15"/>
      <c r="O32" s="15"/>
      <c r="Q32" s="6">
        <f t="shared" si="0"/>
        <v>0</v>
      </c>
      <c r="R32" s="6">
        <f t="shared" si="1"/>
        <v>0</v>
      </c>
      <c r="S32" s="6">
        <f t="shared" si="2"/>
        <v>0</v>
      </c>
      <c r="T32" s="6">
        <f t="shared" si="3"/>
        <v>0</v>
      </c>
      <c r="U32" s="6">
        <v>18000</v>
      </c>
      <c r="V32" s="6">
        <f t="shared" si="4"/>
        <v>18000</v>
      </c>
      <c r="W32" s="6">
        <f t="shared" si="5"/>
        <v>1800</v>
      </c>
      <c r="X32" s="6">
        <f t="shared" si="6"/>
        <v>16200</v>
      </c>
      <c r="Y32" s="6">
        <f t="shared" si="7"/>
        <v>16200</v>
      </c>
    </row>
    <row r="33" spans="1:25" ht="28.8" hidden="1">
      <c r="A33" s="8">
        <v>6</v>
      </c>
      <c r="B33" s="8" t="s">
        <v>38</v>
      </c>
      <c r="C33" s="8"/>
      <c r="D33" s="8"/>
      <c r="E33" s="8"/>
      <c r="F33" s="8"/>
      <c r="G33" s="8"/>
      <c r="H33" s="8"/>
      <c r="I33" s="15"/>
      <c r="J33" s="15"/>
      <c r="K33" s="15"/>
      <c r="L33" s="15"/>
      <c r="M33" s="15"/>
      <c r="N33" s="15"/>
      <c r="O33" s="15"/>
      <c r="Q33" s="6">
        <f t="shared" si="0"/>
        <v>0</v>
      </c>
      <c r="R33" s="6">
        <f t="shared" si="1"/>
        <v>0</v>
      </c>
      <c r="S33" s="6">
        <f t="shared" si="2"/>
        <v>0</v>
      </c>
      <c r="T33" s="6">
        <f t="shared" si="3"/>
        <v>0</v>
      </c>
      <c r="U33" s="6">
        <v>18000</v>
      </c>
      <c r="V33" s="6">
        <f t="shared" si="4"/>
        <v>18000</v>
      </c>
      <c r="W33" s="6">
        <f t="shared" si="5"/>
        <v>1800</v>
      </c>
      <c r="X33" s="6">
        <f t="shared" si="6"/>
        <v>16200</v>
      </c>
      <c r="Y33" s="6">
        <f t="shared" si="7"/>
        <v>16200</v>
      </c>
    </row>
    <row r="34" spans="1:25" ht="28.8" hidden="1">
      <c r="A34" s="8">
        <v>7</v>
      </c>
      <c r="B34" s="8" t="s">
        <v>39</v>
      </c>
      <c r="C34" s="8"/>
      <c r="D34" s="8"/>
      <c r="E34" s="8"/>
      <c r="F34" s="8"/>
      <c r="G34" s="8"/>
      <c r="H34" s="8"/>
      <c r="I34" s="15"/>
      <c r="J34" s="15"/>
      <c r="K34" s="15"/>
      <c r="L34" s="15"/>
      <c r="M34" s="15"/>
      <c r="N34" s="15"/>
      <c r="O34" s="15"/>
      <c r="Q34" s="6">
        <f t="shared" si="0"/>
        <v>0</v>
      </c>
      <c r="R34" s="6">
        <f t="shared" si="1"/>
        <v>0</v>
      </c>
      <c r="S34" s="6">
        <f t="shared" si="2"/>
        <v>0</v>
      </c>
      <c r="T34" s="6">
        <f t="shared" si="3"/>
        <v>0</v>
      </c>
      <c r="U34" s="6">
        <v>18000</v>
      </c>
      <c r="V34" s="6">
        <f t="shared" si="4"/>
        <v>18000</v>
      </c>
      <c r="W34" s="6">
        <f t="shared" si="5"/>
        <v>1800</v>
      </c>
      <c r="X34" s="6">
        <f t="shared" si="6"/>
        <v>16200</v>
      </c>
      <c r="Y34" s="6">
        <f t="shared" si="7"/>
        <v>16200</v>
      </c>
    </row>
    <row r="35" spans="1:25" ht="28.8" hidden="1">
      <c r="A35" s="8">
        <v>8</v>
      </c>
      <c r="B35" s="8" t="s">
        <v>40</v>
      </c>
      <c r="C35" s="8"/>
      <c r="D35" s="8"/>
      <c r="E35" s="8"/>
      <c r="F35" s="8"/>
      <c r="G35" s="8"/>
      <c r="H35" s="8"/>
      <c r="I35" s="15"/>
      <c r="J35" s="15"/>
      <c r="K35" s="15"/>
      <c r="L35" s="15"/>
      <c r="M35" s="15"/>
      <c r="N35" s="15"/>
      <c r="O35" s="15"/>
      <c r="Q35" s="6">
        <f t="shared" si="0"/>
        <v>0</v>
      </c>
      <c r="R35" s="6">
        <f t="shared" si="1"/>
        <v>0</v>
      </c>
      <c r="S35" s="6">
        <f t="shared" si="2"/>
        <v>0</v>
      </c>
      <c r="T35" s="6">
        <f t="shared" si="3"/>
        <v>0</v>
      </c>
      <c r="U35" s="6">
        <v>18000</v>
      </c>
      <c r="V35" s="6">
        <f t="shared" si="4"/>
        <v>18000</v>
      </c>
      <c r="W35" s="6">
        <f t="shared" si="5"/>
        <v>1800</v>
      </c>
      <c r="X35" s="6">
        <f t="shared" si="6"/>
        <v>16200</v>
      </c>
      <c r="Y35" s="6">
        <f t="shared" si="7"/>
        <v>16200</v>
      </c>
    </row>
    <row r="36" spans="1:25" ht="28.8" hidden="1">
      <c r="A36" s="8">
        <v>9</v>
      </c>
      <c r="B36" s="8" t="s">
        <v>41</v>
      </c>
      <c r="C36" s="8"/>
      <c r="D36" s="8"/>
      <c r="E36" s="8"/>
      <c r="F36" s="8"/>
      <c r="G36" s="8"/>
      <c r="H36" s="8"/>
      <c r="I36" s="15"/>
      <c r="J36" s="15"/>
      <c r="K36" s="15"/>
      <c r="L36" s="15"/>
      <c r="M36" s="15"/>
      <c r="N36" s="15"/>
      <c r="O36" s="15"/>
      <c r="Q36" s="6">
        <f t="shared" si="0"/>
        <v>0</v>
      </c>
      <c r="R36" s="6">
        <f t="shared" si="1"/>
        <v>0</v>
      </c>
      <c r="S36" s="6">
        <f t="shared" si="2"/>
        <v>0</v>
      </c>
      <c r="T36" s="6">
        <f t="shared" si="3"/>
        <v>0</v>
      </c>
      <c r="U36" s="6">
        <v>18000</v>
      </c>
      <c r="V36" s="6">
        <f t="shared" si="4"/>
        <v>18000</v>
      </c>
      <c r="W36" s="6">
        <f t="shared" si="5"/>
        <v>1800</v>
      </c>
      <c r="X36" s="6">
        <f t="shared" si="6"/>
        <v>16200</v>
      </c>
      <c r="Y36" s="6">
        <f t="shared" si="7"/>
        <v>16200</v>
      </c>
    </row>
    <row r="37" spans="1:25" ht="28.8" hidden="1">
      <c r="A37" s="8">
        <v>10</v>
      </c>
      <c r="B37" s="8" t="s">
        <v>42</v>
      </c>
      <c r="C37" s="8"/>
      <c r="D37" s="8"/>
      <c r="E37" s="8"/>
      <c r="F37" s="8"/>
      <c r="G37" s="8"/>
      <c r="H37" s="8"/>
      <c r="I37" s="15"/>
      <c r="J37" s="15"/>
      <c r="K37" s="15"/>
      <c r="L37" s="15"/>
      <c r="M37" s="15"/>
      <c r="N37" s="15"/>
      <c r="O37" s="15"/>
      <c r="Q37" s="6">
        <f t="shared" si="0"/>
        <v>0</v>
      </c>
      <c r="R37" s="6">
        <f t="shared" si="1"/>
        <v>0</v>
      </c>
      <c r="S37" s="6">
        <f t="shared" si="2"/>
        <v>0</v>
      </c>
      <c r="T37" s="6">
        <f t="shared" si="3"/>
        <v>0</v>
      </c>
      <c r="U37" s="6">
        <v>18000</v>
      </c>
      <c r="V37" s="6">
        <f t="shared" si="4"/>
        <v>18000</v>
      </c>
      <c r="W37" s="6">
        <f t="shared" si="5"/>
        <v>1800</v>
      </c>
      <c r="X37" s="6">
        <f t="shared" si="6"/>
        <v>16200</v>
      </c>
      <c r="Y37" s="6">
        <f t="shared" si="7"/>
        <v>16200</v>
      </c>
    </row>
    <row r="38" spans="1:25" hidden="1">
      <c r="A38" s="8">
        <v>11</v>
      </c>
      <c r="B38" s="8" t="s">
        <v>43</v>
      </c>
      <c r="C38" s="8"/>
      <c r="D38" s="8"/>
      <c r="E38" s="8"/>
      <c r="F38" s="8"/>
      <c r="G38" s="8"/>
      <c r="H38" s="8"/>
      <c r="I38" s="15"/>
      <c r="J38" s="15"/>
      <c r="K38" s="15"/>
      <c r="L38" s="15"/>
      <c r="M38" s="15"/>
      <c r="N38" s="15"/>
      <c r="O38" s="15"/>
      <c r="Q38" s="6">
        <f t="shared" si="0"/>
        <v>0</v>
      </c>
      <c r="R38" s="6">
        <f t="shared" si="1"/>
        <v>0</v>
      </c>
      <c r="S38" s="6">
        <f t="shared" si="2"/>
        <v>0</v>
      </c>
      <c r="T38" s="6">
        <f t="shared" si="3"/>
        <v>0</v>
      </c>
      <c r="U38" s="6">
        <v>18000</v>
      </c>
      <c r="V38" s="6">
        <f t="shared" si="4"/>
        <v>18000</v>
      </c>
      <c r="W38" s="6">
        <f t="shared" si="5"/>
        <v>1800</v>
      </c>
      <c r="X38" s="6">
        <f t="shared" si="6"/>
        <v>16200</v>
      </c>
      <c r="Y38" s="6">
        <f t="shared" si="7"/>
        <v>16200</v>
      </c>
    </row>
    <row r="39" spans="1:25" ht="28.8" hidden="1">
      <c r="A39" s="8">
        <v>12</v>
      </c>
      <c r="B39" s="8" t="s">
        <v>44</v>
      </c>
      <c r="C39" s="8"/>
      <c r="D39" s="8"/>
      <c r="E39" s="8"/>
      <c r="F39" s="8"/>
      <c r="G39" s="8"/>
      <c r="H39" s="8"/>
      <c r="I39" s="15"/>
      <c r="J39" s="15"/>
      <c r="K39" s="15"/>
      <c r="L39" s="15"/>
      <c r="M39" s="15"/>
      <c r="N39" s="15"/>
      <c r="O39" s="15"/>
      <c r="Q39" s="6">
        <f t="shared" si="0"/>
        <v>0</v>
      </c>
      <c r="R39" s="6">
        <f t="shared" si="1"/>
        <v>0</v>
      </c>
      <c r="S39" s="6">
        <f t="shared" si="2"/>
        <v>0</v>
      </c>
      <c r="T39" s="6">
        <f t="shared" si="3"/>
        <v>0</v>
      </c>
      <c r="U39" s="6">
        <v>18000</v>
      </c>
      <c r="V39" s="6">
        <f t="shared" si="4"/>
        <v>18000</v>
      </c>
      <c r="W39" s="6">
        <f t="shared" si="5"/>
        <v>1800</v>
      </c>
      <c r="X39" s="6">
        <f t="shared" si="6"/>
        <v>16200</v>
      </c>
      <c r="Y39" s="6">
        <f t="shared" si="7"/>
        <v>16200</v>
      </c>
    </row>
    <row r="40" spans="1:25" ht="28.8" hidden="1">
      <c r="A40" s="8">
        <v>13</v>
      </c>
      <c r="B40" s="8" t="s">
        <v>45</v>
      </c>
      <c r="C40" s="8"/>
      <c r="D40" s="8"/>
      <c r="E40" s="8"/>
      <c r="F40" s="8"/>
      <c r="G40" s="8"/>
      <c r="H40" s="8"/>
      <c r="I40" s="15"/>
      <c r="J40" s="15"/>
      <c r="K40" s="15"/>
      <c r="L40" s="15"/>
      <c r="M40" s="15"/>
      <c r="N40" s="15"/>
      <c r="O40" s="15"/>
      <c r="Q40" s="6">
        <f t="shared" si="0"/>
        <v>0</v>
      </c>
      <c r="R40" s="6">
        <f t="shared" si="1"/>
        <v>0</v>
      </c>
      <c r="S40" s="6">
        <f t="shared" si="2"/>
        <v>0</v>
      </c>
      <c r="T40" s="6">
        <f t="shared" si="3"/>
        <v>0</v>
      </c>
      <c r="U40" s="6">
        <v>18000</v>
      </c>
      <c r="V40" s="6">
        <f t="shared" si="4"/>
        <v>18000</v>
      </c>
      <c r="W40" s="6">
        <f t="shared" si="5"/>
        <v>1800</v>
      </c>
      <c r="X40" s="6">
        <f t="shared" si="6"/>
        <v>16200</v>
      </c>
      <c r="Y40" s="6">
        <f t="shared" si="7"/>
        <v>16200</v>
      </c>
    </row>
    <row r="41" spans="1:25" hidden="1"/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Y41"/>
  <sheetViews>
    <sheetView view="pageBreakPreview" zoomScaleNormal="100" workbookViewId="0">
      <selection activeCell="J12" sqref="J12"/>
    </sheetView>
  </sheetViews>
  <sheetFormatPr defaultColWidth="9" defaultRowHeight="14.4"/>
  <cols>
    <col min="1" max="1" width="16.88671875" style="1" customWidth="1"/>
    <col min="2" max="2" width="26.6640625" style="1" customWidth="1"/>
    <col min="3" max="3" width="7.109375" style="1" customWidth="1"/>
    <col min="4" max="4" width="21.33203125" style="1" customWidth="1"/>
    <col min="5" max="5" width="9.5546875" style="1"/>
    <col min="6" max="6" width="12.88671875" style="1"/>
    <col min="7" max="7" width="9" style="1"/>
    <col min="8" max="8" width="14.6640625" style="1" customWidth="1"/>
    <col min="9" max="9" width="12.6640625" style="1" customWidth="1"/>
    <col min="10" max="10" width="15.5546875" style="1" customWidth="1"/>
    <col min="11" max="11" width="15.33203125" style="1" customWidth="1"/>
    <col min="12" max="13" width="14.109375" style="1" customWidth="1"/>
    <col min="14" max="18" width="9" style="1"/>
    <col min="19" max="19" width="9.5546875" style="1"/>
    <col min="20" max="24" width="9" style="1"/>
    <col min="25" max="25" width="10.5546875" style="1"/>
    <col min="26" max="16384" width="9" style="1"/>
  </cols>
  <sheetData>
    <row r="1" spans="1:24" ht="40.200000000000003" customHeight="1">
      <c r="A1" s="23" t="s">
        <v>65</v>
      </c>
      <c r="B1" s="24"/>
      <c r="C1" s="24"/>
      <c r="D1" s="24"/>
      <c r="E1" s="24"/>
      <c r="F1" s="24"/>
      <c r="G1" s="24"/>
      <c r="H1" s="2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>
      <c r="A2" s="2"/>
      <c r="B2" s="2" t="s">
        <v>1</v>
      </c>
      <c r="C2" s="2"/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</row>
    <row r="3" spans="1:24">
      <c r="A3" s="2" t="s">
        <v>7</v>
      </c>
      <c r="B3" s="2">
        <v>22</v>
      </c>
      <c r="C3" s="2"/>
      <c r="D3" s="2">
        <v>14</v>
      </c>
      <c r="E3" s="2">
        <f>B3*D3</f>
        <v>308</v>
      </c>
      <c r="F3" s="2">
        <f>E3*1.196</f>
        <v>368.36799999999999</v>
      </c>
      <c r="G3" s="2">
        <v>3200</v>
      </c>
      <c r="H3" s="2">
        <f>F3*G3</f>
        <v>1178777.6000000001</v>
      </c>
    </row>
    <row r="4" spans="1:24">
      <c r="A4" s="2" t="s">
        <v>8</v>
      </c>
      <c r="B4" s="2">
        <v>14</v>
      </c>
      <c r="C4" s="2"/>
      <c r="D4" s="2">
        <v>12</v>
      </c>
      <c r="E4" s="2">
        <f>B4*D4</f>
        <v>168</v>
      </c>
      <c r="F4" s="2">
        <f>E4*10.7639</f>
        <v>1808.3352</v>
      </c>
      <c r="G4" s="2">
        <v>1500</v>
      </c>
      <c r="H4" s="2">
        <f>F4*G4</f>
        <v>2712502.8</v>
      </c>
    </row>
    <row r="5" spans="1:24">
      <c r="A5" s="1" t="s">
        <v>9</v>
      </c>
      <c r="F5" s="3" t="s">
        <v>10</v>
      </c>
    </row>
    <row r="7" spans="1:24">
      <c r="A7" s="2" t="s">
        <v>8</v>
      </c>
      <c r="B7" s="2">
        <f>H4</f>
        <v>2712502.8</v>
      </c>
      <c r="D7" s="4" t="s">
        <v>11</v>
      </c>
      <c r="E7" s="4">
        <v>3200</v>
      </c>
    </row>
    <row r="8" spans="1:24">
      <c r="A8" s="2" t="s">
        <v>12</v>
      </c>
      <c r="B8" s="2">
        <v>5000</v>
      </c>
      <c r="D8" s="4" t="s">
        <v>13</v>
      </c>
      <c r="E8" s="4">
        <v>1500</v>
      </c>
    </row>
    <row r="9" spans="1:24" ht="28.8">
      <c r="A9" s="2" t="s">
        <v>14</v>
      </c>
      <c r="B9" s="2">
        <v>5000</v>
      </c>
      <c r="D9" s="4" t="s">
        <v>15</v>
      </c>
      <c r="E9" s="4" t="s">
        <v>16</v>
      </c>
    </row>
    <row r="10" spans="1:24">
      <c r="A10" s="2" t="s">
        <v>17</v>
      </c>
      <c r="B10" s="2">
        <v>3000</v>
      </c>
    </row>
    <row r="11" spans="1:24">
      <c r="A11" s="2" t="s">
        <v>18</v>
      </c>
      <c r="B11" s="2">
        <v>3000</v>
      </c>
    </row>
    <row r="12" spans="1:24">
      <c r="A12" s="2" t="s">
        <v>19</v>
      </c>
      <c r="B12" s="2">
        <v>2000</v>
      </c>
    </row>
    <row r="13" spans="1:24">
      <c r="A13" s="2" t="s">
        <v>6</v>
      </c>
      <c r="B13" s="2">
        <f>SUM(B7:B12)</f>
        <v>2730502.8</v>
      </c>
    </row>
    <row r="14" spans="1:24">
      <c r="A14" s="5">
        <v>-0.1</v>
      </c>
      <c r="B14" s="2">
        <f>B13*10/100</f>
        <v>273050.28000000003</v>
      </c>
      <c r="G14" s="6"/>
    </row>
    <row r="15" spans="1:24">
      <c r="A15" s="2" t="s">
        <v>20</v>
      </c>
      <c r="B15" s="2">
        <f>B13-B14</f>
        <v>2457452.52</v>
      </c>
    </row>
    <row r="16" spans="1:24">
      <c r="A16" s="2" t="s">
        <v>7</v>
      </c>
      <c r="B16" s="2">
        <f>F3*G3</f>
        <v>1178777.6000000001</v>
      </c>
    </row>
    <row r="17" spans="1:25">
      <c r="A17" s="2" t="s">
        <v>6</v>
      </c>
      <c r="B17" s="2">
        <f>SUM(B15:B16)</f>
        <v>3636230.12</v>
      </c>
    </row>
    <row r="18" spans="1:25" ht="18">
      <c r="A18" s="2" t="s">
        <v>21</v>
      </c>
      <c r="B18" s="7">
        <f>B17/1000</f>
        <v>3636.2301200000002</v>
      </c>
    </row>
    <row r="19" spans="1:25" ht="18">
      <c r="A19" s="2" t="s">
        <v>22</v>
      </c>
      <c r="B19" s="7">
        <f>B18*8/100</f>
        <v>290.89840959999998</v>
      </c>
    </row>
    <row r="20" spans="1:25" ht="18">
      <c r="A20" s="2" t="s">
        <v>23</v>
      </c>
      <c r="B20" s="7">
        <f>B18*3/100</f>
        <v>109.0869036</v>
      </c>
    </row>
    <row r="21" spans="1:25" ht="18">
      <c r="A21" s="2" t="s">
        <v>24</v>
      </c>
      <c r="B21" s="7">
        <f>B18*20/100</f>
        <v>727.24602400000003</v>
      </c>
    </row>
    <row r="22" spans="1:25" ht="18">
      <c r="A22" s="2" t="s">
        <v>25</v>
      </c>
      <c r="B22" s="7">
        <f>B18*5/100</f>
        <v>181.81150600000001</v>
      </c>
    </row>
    <row r="23" spans="1:25" ht="18">
      <c r="A23" s="2" t="s">
        <v>26</v>
      </c>
      <c r="B23" s="7">
        <f>B18*1/100</f>
        <v>36.362301199999997</v>
      </c>
    </row>
    <row r="24" spans="1:25" ht="18">
      <c r="A24" s="2" t="s">
        <v>6</v>
      </c>
      <c r="B24" s="7">
        <f>SUM(B18:B23)</f>
        <v>4981.6352643999999</v>
      </c>
    </row>
    <row r="27" spans="1:25" hidden="1">
      <c r="A27" s="2" t="s">
        <v>27</v>
      </c>
      <c r="B27" s="2" t="s">
        <v>28</v>
      </c>
      <c r="C27" s="2"/>
      <c r="D27" s="2" t="s">
        <v>29</v>
      </c>
      <c r="E27" s="2" t="s">
        <v>30</v>
      </c>
      <c r="F27" s="2"/>
      <c r="G27" s="2" t="s">
        <v>31</v>
      </c>
      <c r="H27" s="2" t="s">
        <v>32</v>
      </c>
      <c r="I27" s="2" t="s">
        <v>21</v>
      </c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6</v>
      </c>
    </row>
    <row r="28" spans="1:25" ht="28.8" hidden="1">
      <c r="A28" s="2">
        <v>1</v>
      </c>
      <c r="B28" s="8" t="s">
        <v>33</v>
      </c>
      <c r="C28" s="2"/>
      <c r="D28" s="2">
        <v>9.5</v>
      </c>
      <c r="E28" s="2">
        <v>11.9</v>
      </c>
      <c r="F28" s="2"/>
      <c r="G28" s="2">
        <v>7.2</v>
      </c>
      <c r="H28" s="2">
        <v>7</v>
      </c>
      <c r="I28" s="10">
        <f>Y28*60/10000</f>
        <v>930.21749999999997</v>
      </c>
      <c r="J28" s="10">
        <f>I28*8/100</f>
        <v>74.417400000000001</v>
      </c>
      <c r="K28" s="10">
        <f>I28*3/100</f>
        <v>27.906524999999998</v>
      </c>
      <c r="L28" s="10">
        <f>I28*20/100</f>
        <v>186.04349999999999</v>
      </c>
      <c r="M28" s="10">
        <f>I28/100*5</f>
        <v>46.510874999999999</v>
      </c>
      <c r="N28" s="10">
        <f>I28*1/100</f>
        <v>9.3021750000000001</v>
      </c>
      <c r="O28" s="10">
        <f>SUM(I28:N28)</f>
        <v>1274.3979750000001</v>
      </c>
      <c r="Q28" s="1">
        <f t="shared" ref="Q28:Q40" si="0">D28*E28</f>
        <v>113.05</v>
      </c>
      <c r="R28" s="1">
        <f t="shared" ref="R28:R40" si="1">G28*H28</f>
        <v>50.4</v>
      </c>
      <c r="S28" s="1">
        <f t="shared" ref="S28:S40" si="2">Q28*225</f>
        <v>25436.25</v>
      </c>
      <c r="T28" s="1">
        <f t="shared" ref="T28:T40" si="3">R28*2500</f>
        <v>126000</v>
      </c>
      <c r="U28" s="1">
        <v>18000</v>
      </c>
      <c r="V28" s="1">
        <f t="shared" ref="V28:V40" si="4">T28+U28</f>
        <v>144000</v>
      </c>
      <c r="W28" s="1">
        <f t="shared" ref="W28:W40" si="5">V28*10/100</f>
        <v>14400</v>
      </c>
      <c r="X28" s="1">
        <f t="shared" ref="X28:X40" si="6">V28-W28</f>
        <v>129600</v>
      </c>
      <c r="Y28" s="1">
        <f t="shared" ref="Y28:Y40" si="7">S28+X28</f>
        <v>155036.25</v>
      </c>
    </row>
    <row r="29" spans="1:25" ht="28.8" hidden="1">
      <c r="A29" s="2">
        <v>2</v>
      </c>
      <c r="B29" s="8" t="s">
        <v>34</v>
      </c>
      <c r="C29" s="2"/>
      <c r="D29" s="2"/>
      <c r="E29" s="2"/>
      <c r="F29" s="2"/>
      <c r="G29" s="2"/>
      <c r="H29" s="2"/>
      <c r="I29" s="10"/>
      <c r="J29" s="10"/>
      <c r="K29" s="10"/>
      <c r="L29" s="10"/>
      <c r="M29" s="10"/>
      <c r="N29" s="10"/>
      <c r="O29" s="10"/>
      <c r="Q29" s="1">
        <f t="shared" si="0"/>
        <v>0</v>
      </c>
      <c r="R29" s="1">
        <f t="shared" si="1"/>
        <v>0</v>
      </c>
      <c r="S29" s="1">
        <f t="shared" si="2"/>
        <v>0</v>
      </c>
      <c r="T29" s="1">
        <f t="shared" si="3"/>
        <v>0</v>
      </c>
      <c r="U29" s="1">
        <v>18000</v>
      </c>
      <c r="V29" s="1">
        <f t="shared" si="4"/>
        <v>18000</v>
      </c>
      <c r="W29" s="1">
        <f t="shared" si="5"/>
        <v>1800</v>
      </c>
      <c r="X29" s="1">
        <f t="shared" si="6"/>
        <v>16200</v>
      </c>
      <c r="Y29" s="1">
        <f t="shared" si="7"/>
        <v>16200</v>
      </c>
    </row>
    <row r="30" spans="1:25" ht="28.8" hidden="1">
      <c r="A30" s="2">
        <v>3</v>
      </c>
      <c r="B30" s="8" t="s">
        <v>35</v>
      </c>
      <c r="C30" s="2"/>
      <c r="D30" s="2"/>
      <c r="E30" s="2"/>
      <c r="F30" s="2"/>
      <c r="G30" s="2"/>
      <c r="H30" s="2"/>
      <c r="I30" s="10"/>
      <c r="J30" s="10"/>
      <c r="K30" s="10"/>
      <c r="L30" s="10"/>
      <c r="M30" s="10"/>
      <c r="N30" s="10"/>
      <c r="O30" s="10"/>
      <c r="Q30" s="1">
        <f t="shared" si="0"/>
        <v>0</v>
      </c>
      <c r="R30" s="1">
        <f t="shared" si="1"/>
        <v>0</v>
      </c>
      <c r="S30" s="1">
        <f t="shared" si="2"/>
        <v>0</v>
      </c>
      <c r="T30" s="1">
        <f t="shared" si="3"/>
        <v>0</v>
      </c>
      <c r="U30" s="1">
        <v>18000</v>
      </c>
      <c r="V30" s="1">
        <f t="shared" si="4"/>
        <v>18000</v>
      </c>
      <c r="W30" s="1">
        <f t="shared" si="5"/>
        <v>1800</v>
      </c>
      <c r="X30" s="1">
        <f t="shared" si="6"/>
        <v>16200</v>
      </c>
      <c r="Y30" s="1">
        <f t="shared" si="7"/>
        <v>16200</v>
      </c>
    </row>
    <row r="31" spans="1:25" ht="28.8" hidden="1">
      <c r="A31" s="2">
        <v>4</v>
      </c>
      <c r="B31" s="8" t="s">
        <v>36</v>
      </c>
      <c r="C31" s="2"/>
      <c r="D31" s="2"/>
      <c r="E31" s="2"/>
      <c r="F31" s="2"/>
      <c r="G31" s="2"/>
      <c r="H31" s="2"/>
      <c r="I31" s="10"/>
      <c r="J31" s="10"/>
      <c r="K31" s="10"/>
      <c r="L31" s="10"/>
      <c r="M31" s="10"/>
      <c r="N31" s="10"/>
      <c r="O31" s="10"/>
      <c r="Q31" s="1">
        <f t="shared" si="0"/>
        <v>0</v>
      </c>
      <c r="R31" s="1">
        <f t="shared" si="1"/>
        <v>0</v>
      </c>
      <c r="S31" s="1">
        <f t="shared" si="2"/>
        <v>0</v>
      </c>
      <c r="T31" s="1">
        <f t="shared" si="3"/>
        <v>0</v>
      </c>
      <c r="U31" s="1">
        <v>18000</v>
      </c>
      <c r="V31" s="1">
        <f t="shared" si="4"/>
        <v>18000</v>
      </c>
      <c r="W31" s="1">
        <f t="shared" si="5"/>
        <v>1800</v>
      </c>
      <c r="X31" s="1">
        <f t="shared" si="6"/>
        <v>16200</v>
      </c>
      <c r="Y31" s="1">
        <f t="shared" si="7"/>
        <v>16200</v>
      </c>
    </row>
    <row r="32" spans="1:25" ht="28.8" hidden="1">
      <c r="A32" s="2">
        <v>5</v>
      </c>
      <c r="B32" s="8" t="s">
        <v>37</v>
      </c>
      <c r="C32" s="2"/>
      <c r="D32" s="2"/>
      <c r="E32" s="2"/>
      <c r="F32" s="2"/>
      <c r="G32" s="2"/>
      <c r="H32" s="2"/>
      <c r="I32" s="10"/>
      <c r="J32" s="10"/>
      <c r="K32" s="10"/>
      <c r="L32" s="10"/>
      <c r="M32" s="10"/>
      <c r="N32" s="10"/>
      <c r="O32" s="10"/>
      <c r="Q32" s="1">
        <f t="shared" si="0"/>
        <v>0</v>
      </c>
      <c r="R32" s="1">
        <f t="shared" si="1"/>
        <v>0</v>
      </c>
      <c r="S32" s="1">
        <f t="shared" si="2"/>
        <v>0</v>
      </c>
      <c r="T32" s="1">
        <f t="shared" si="3"/>
        <v>0</v>
      </c>
      <c r="U32" s="1">
        <v>18000</v>
      </c>
      <c r="V32" s="1">
        <f t="shared" si="4"/>
        <v>18000</v>
      </c>
      <c r="W32" s="1">
        <f t="shared" si="5"/>
        <v>1800</v>
      </c>
      <c r="X32" s="1">
        <f t="shared" si="6"/>
        <v>16200</v>
      </c>
      <c r="Y32" s="1">
        <f t="shared" si="7"/>
        <v>16200</v>
      </c>
    </row>
    <row r="33" spans="1:25" ht="28.8" hidden="1">
      <c r="A33" s="2">
        <v>6</v>
      </c>
      <c r="B33" s="8" t="s">
        <v>38</v>
      </c>
      <c r="C33" s="2"/>
      <c r="D33" s="2"/>
      <c r="E33" s="2"/>
      <c r="F33" s="2"/>
      <c r="G33" s="2"/>
      <c r="H33" s="2"/>
      <c r="I33" s="10"/>
      <c r="J33" s="10"/>
      <c r="K33" s="10"/>
      <c r="L33" s="10"/>
      <c r="M33" s="10"/>
      <c r="N33" s="10"/>
      <c r="O33" s="10"/>
      <c r="Q33" s="1">
        <f t="shared" si="0"/>
        <v>0</v>
      </c>
      <c r="R33" s="1">
        <f t="shared" si="1"/>
        <v>0</v>
      </c>
      <c r="S33" s="1">
        <f t="shared" si="2"/>
        <v>0</v>
      </c>
      <c r="T33" s="1">
        <f t="shared" si="3"/>
        <v>0</v>
      </c>
      <c r="U33" s="1">
        <v>18000</v>
      </c>
      <c r="V33" s="1">
        <f t="shared" si="4"/>
        <v>18000</v>
      </c>
      <c r="W33" s="1">
        <f t="shared" si="5"/>
        <v>1800</v>
      </c>
      <c r="X33" s="1">
        <f t="shared" si="6"/>
        <v>16200</v>
      </c>
      <c r="Y33" s="1">
        <f t="shared" si="7"/>
        <v>16200</v>
      </c>
    </row>
    <row r="34" spans="1:25" ht="28.8" hidden="1">
      <c r="A34" s="2">
        <v>7</v>
      </c>
      <c r="B34" s="8" t="s">
        <v>39</v>
      </c>
      <c r="C34" s="2"/>
      <c r="D34" s="2"/>
      <c r="E34" s="2"/>
      <c r="F34" s="2"/>
      <c r="G34" s="2"/>
      <c r="H34" s="2"/>
      <c r="I34" s="10"/>
      <c r="J34" s="10"/>
      <c r="K34" s="10"/>
      <c r="L34" s="10"/>
      <c r="M34" s="10"/>
      <c r="N34" s="10"/>
      <c r="O34" s="10"/>
      <c r="Q34" s="1">
        <f t="shared" si="0"/>
        <v>0</v>
      </c>
      <c r="R34" s="1">
        <f t="shared" si="1"/>
        <v>0</v>
      </c>
      <c r="S34" s="1">
        <f t="shared" si="2"/>
        <v>0</v>
      </c>
      <c r="T34" s="1">
        <f t="shared" si="3"/>
        <v>0</v>
      </c>
      <c r="U34" s="1">
        <v>18000</v>
      </c>
      <c r="V34" s="1">
        <f t="shared" si="4"/>
        <v>18000</v>
      </c>
      <c r="W34" s="1">
        <f t="shared" si="5"/>
        <v>1800</v>
      </c>
      <c r="X34" s="1">
        <f t="shared" si="6"/>
        <v>16200</v>
      </c>
      <c r="Y34" s="1">
        <f t="shared" si="7"/>
        <v>16200</v>
      </c>
    </row>
    <row r="35" spans="1:25" ht="28.8" hidden="1">
      <c r="A35" s="2">
        <v>8</v>
      </c>
      <c r="B35" s="8" t="s">
        <v>40</v>
      </c>
      <c r="C35" s="2"/>
      <c r="D35" s="2"/>
      <c r="E35" s="2"/>
      <c r="F35" s="2"/>
      <c r="G35" s="2"/>
      <c r="H35" s="2"/>
      <c r="I35" s="10"/>
      <c r="J35" s="10"/>
      <c r="K35" s="10"/>
      <c r="L35" s="10"/>
      <c r="M35" s="10"/>
      <c r="N35" s="10"/>
      <c r="O35" s="10"/>
      <c r="Q35" s="1">
        <f t="shared" si="0"/>
        <v>0</v>
      </c>
      <c r="R35" s="1">
        <f t="shared" si="1"/>
        <v>0</v>
      </c>
      <c r="S35" s="1">
        <f t="shared" si="2"/>
        <v>0</v>
      </c>
      <c r="T35" s="1">
        <f t="shared" si="3"/>
        <v>0</v>
      </c>
      <c r="U35" s="1">
        <v>18000</v>
      </c>
      <c r="V35" s="1">
        <f t="shared" si="4"/>
        <v>18000</v>
      </c>
      <c r="W35" s="1">
        <f t="shared" si="5"/>
        <v>1800</v>
      </c>
      <c r="X35" s="1">
        <f t="shared" si="6"/>
        <v>16200</v>
      </c>
      <c r="Y35" s="1">
        <f t="shared" si="7"/>
        <v>16200</v>
      </c>
    </row>
    <row r="36" spans="1:25" ht="28.8" hidden="1">
      <c r="A36" s="2">
        <v>9</v>
      </c>
      <c r="B36" s="8" t="s">
        <v>41</v>
      </c>
      <c r="C36" s="2"/>
      <c r="D36" s="2"/>
      <c r="E36" s="2"/>
      <c r="F36" s="2"/>
      <c r="G36" s="2"/>
      <c r="H36" s="2"/>
      <c r="I36" s="10"/>
      <c r="J36" s="10"/>
      <c r="K36" s="10"/>
      <c r="L36" s="10"/>
      <c r="M36" s="10"/>
      <c r="N36" s="10"/>
      <c r="O36" s="10"/>
      <c r="Q36" s="1">
        <f t="shared" si="0"/>
        <v>0</v>
      </c>
      <c r="R36" s="1">
        <f t="shared" si="1"/>
        <v>0</v>
      </c>
      <c r="S36" s="1">
        <f t="shared" si="2"/>
        <v>0</v>
      </c>
      <c r="T36" s="1">
        <f t="shared" si="3"/>
        <v>0</v>
      </c>
      <c r="U36" s="1">
        <v>18000</v>
      </c>
      <c r="V36" s="1">
        <f t="shared" si="4"/>
        <v>18000</v>
      </c>
      <c r="W36" s="1">
        <f t="shared" si="5"/>
        <v>1800</v>
      </c>
      <c r="X36" s="1">
        <f t="shared" si="6"/>
        <v>16200</v>
      </c>
      <c r="Y36" s="1">
        <f t="shared" si="7"/>
        <v>16200</v>
      </c>
    </row>
    <row r="37" spans="1:25" ht="28.8" hidden="1">
      <c r="A37" s="2">
        <v>10</v>
      </c>
      <c r="B37" s="8" t="s">
        <v>42</v>
      </c>
      <c r="C37" s="2"/>
      <c r="D37" s="2"/>
      <c r="E37" s="2"/>
      <c r="F37" s="2"/>
      <c r="G37" s="2"/>
      <c r="H37" s="2"/>
      <c r="I37" s="10"/>
      <c r="J37" s="10"/>
      <c r="K37" s="10"/>
      <c r="L37" s="10"/>
      <c r="M37" s="10"/>
      <c r="N37" s="10"/>
      <c r="O37" s="10"/>
      <c r="Q37" s="1">
        <f t="shared" si="0"/>
        <v>0</v>
      </c>
      <c r="R37" s="1">
        <f t="shared" si="1"/>
        <v>0</v>
      </c>
      <c r="S37" s="1">
        <f t="shared" si="2"/>
        <v>0</v>
      </c>
      <c r="T37" s="1">
        <f t="shared" si="3"/>
        <v>0</v>
      </c>
      <c r="U37" s="1">
        <v>18000</v>
      </c>
      <c r="V37" s="1">
        <f t="shared" si="4"/>
        <v>18000</v>
      </c>
      <c r="W37" s="1">
        <f t="shared" si="5"/>
        <v>1800</v>
      </c>
      <c r="X37" s="1">
        <f t="shared" si="6"/>
        <v>16200</v>
      </c>
      <c r="Y37" s="1">
        <f t="shared" si="7"/>
        <v>16200</v>
      </c>
    </row>
    <row r="38" spans="1:25" hidden="1">
      <c r="A38" s="2">
        <v>11</v>
      </c>
      <c r="B38" s="8" t="s">
        <v>43</v>
      </c>
      <c r="C38" s="2"/>
      <c r="D38" s="2"/>
      <c r="E38" s="2"/>
      <c r="F38" s="2"/>
      <c r="G38" s="2"/>
      <c r="H38" s="2"/>
      <c r="I38" s="10"/>
      <c r="J38" s="10"/>
      <c r="K38" s="10"/>
      <c r="L38" s="10"/>
      <c r="M38" s="10"/>
      <c r="N38" s="10"/>
      <c r="O38" s="10"/>
      <c r="Q38" s="1">
        <f t="shared" si="0"/>
        <v>0</v>
      </c>
      <c r="R38" s="1">
        <f t="shared" si="1"/>
        <v>0</v>
      </c>
      <c r="S38" s="1">
        <f t="shared" si="2"/>
        <v>0</v>
      </c>
      <c r="T38" s="1">
        <f t="shared" si="3"/>
        <v>0</v>
      </c>
      <c r="U38" s="1">
        <v>18000</v>
      </c>
      <c r="V38" s="1">
        <f t="shared" si="4"/>
        <v>18000</v>
      </c>
      <c r="W38" s="1">
        <f t="shared" si="5"/>
        <v>1800</v>
      </c>
      <c r="X38" s="1">
        <f t="shared" si="6"/>
        <v>16200</v>
      </c>
      <c r="Y38" s="1">
        <f t="shared" si="7"/>
        <v>16200</v>
      </c>
    </row>
    <row r="39" spans="1:25" ht="28.8" hidden="1">
      <c r="A39" s="2">
        <v>12</v>
      </c>
      <c r="B39" s="8" t="s">
        <v>44</v>
      </c>
      <c r="C39" s="2"/>
      <c r="D39" s="2"/>
      <c r="E39" s="2"/>
      <c r="F39" s="2"/>
      <c r="G39" s="2"/>
      <c r="H39" s="2"/>
      <c r="I39" s="10"/>
      <c r="J39" s="10"/>
      <c r="K39" s="10"/>
      <c r="L39" s="10"/>
      <c r="M39" s="10"/>
      <c r="N39" s="10"/>
      <c r="O39" s="10"/>
      <c r="Q39" s="1">
        <f t="shared" si="0"/>
        <v>0</v>
      </c>
      <c r="R39" s="1">
        <f t="shared" si="1"/>
        <v>0</v>
      </c>
      <c r="S39" s="1">
        <f t="shared" si="2"/>
        <v>0</v>
      </c>
      <c r="T39" s="1">
        <f t="shared" si="3"/>
        <v>0</v>
      </c>
      <c r="U39" s="1">
        <v>18000</v>
      </c>
      <c r="V39" s="1">
        <f t="shared" si="4"/>
        <v>18000</v>
      </c>
      <c r="W39" s="1">
        <f t="shared" si="5"/>
        <v>1800</v>
      </c>
      <c r="X39" s="1">
        <f t="shared" si="6"/>
        <v>16200</v>
      </c>
      <c r="Y39" s="1">
        <f t="shared" si="7"/>
        <v>16200</v>
      </c>
    </row>
    <row r="40" spans="1:25" ht="28.8" hidden="1">
      <c r="A40" s="2">
        <v>13</v>
      </c>
      <c r="B40" s="8" t="s">
        <v>45</v>
      </c>
      <c r="C40" s="2"/>
      <c r="D40" s="2"/>
      <c r="E40" s="2"/>
      <c r="F40" s="2"/>
      <c r="G40" s="2"/>
      <c r="H40" s="2"/>
      <c r="I40" s="10"/>
      <c r="J40" s="10"/>
      <c r="K40" s="10"/>
      <c r="L40" s="10"/>
      <c r="M40" s="10"/>
      <c r="N40" s="10"/>
      <c r="O40" s="10"/>
      <c r="Q40" s="1">
        <f t="shared" si="0"/>
        <v>0</v>
      </c>
      <c r="R40" s="1">
        <f t="shared" si="1"/>
        <v>0</v>
      </c>
      <c r="S40" s="1">
        <f t="shared" si="2"/>
        <v>0</v>
      </c>
      <c r="T40" s="1">
        <f t="shared" si="3"/>
        <v>0</v>
      </c>
      <c r="U40" s="1">
        <v>18000</v>
      </c>
      <c r="V40" s="1">
        <f t="shared" si="4"/>
        <v>18000</v>
      </c>
      <c r="W40" s="1">
        <f t="shared" si="5"/>
        <v>1800</v>
      </c>
      <c r="X40" s="1">
        <f t="shared" si="6"/>
        <v>16200</v>
      </c>
      <c r="Y40" s="1">
        <f t="shared" si="7"/>
        <v>16200</v>
      </c>
    </row>
    <row r="41" spans="1:25" hidden="1"/>
  </sheetData>
  <mergeCells count="1">
    <mergeCell ref="A1:H1"/>
  </mergeCells>
  <pageMargins left="0.75" right="0.75" top="1" bottom="1" header="0.5" footer="0.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Original </vt:lpstr>
      <vt:lpstr>1446</vt:lpstr>
      <vt:lpstr>1447</vt:lpstr>
      <vt:lpstr>1448</vt:lpstr>
      <vt:lpstr>1449</vt:lpstr>
      <vt:lpstr>1450</vt:lpstr>
      <vt:lpstr>1451</vt:lpstr>
      <vt:lpstr>1452</vt:lpstr>
      <vt:lpstr>1453</vt:lpstr>
      <vt:lpstr>1454</vt:lpstr>
      <vt:lpstr>1455</vt:lpstr>
      <vt:lpstr>1456</vt:lpstr>
      <vt:lpstr>1457</vt:lpstr>
      <vt:lpstr>1458</vt:lpstr>
      <vt:lpstr>1459</vt:lpstr>
      <vt:lpstr>1460</vt:lpstr>
      <vt:lpstr>1461</vt:lpstr>
      <vt:lpstr>1462</vt:lpstr>
      <vt:lpstr>1463</vt:lpstr>
      <vt:lpstr>1464</vt:lpstr>
      <vt:lpstr>1465</vt:lpstr>
      <vt:lpstr>1466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Pavan kumar ganesh Kommoju</cp:lastModifiedBy>
  <cp:lastPrinted>2025-04-21T12:37:00Z</cp:lastPrinted>
  <dcterms:created xsi:type="dcterms:W3CDTF">2025-02-05T08:18:00Z</dcterms:created>
  <dcterms:modified xsi:type="dcterms:W3CDTF">2025-10-22T06:23:02Z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F40013E87367470FAB47692178AAB44F_13</vt:lpwstr>
  </property>
  <property fmtid="{D5CDD505-2E9C-101B-9397-08002B2CF9AE}" pid="3" name="KSOProductBuildVer">
    <vt:lpwstr>1033-12.2.0.21179</vt:lpwstr>
  </property>
</Properties>
</file>